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john_soghigian_ucalgary_ca/Documents/Documents/manuscripts/2025_chan_et_al/"/>
    </mc:Choice>
  </mc:AlternateContent>
  <xr:revisionPtr revIDLastSave="16" documentId="8_{FB8F1B9C-EFF7-485F-BF82-7BBAF5F6E506}" xr6:coauthVersionLast="47" xr6:coauthVersionMax="47" xr10:uidLastSave="{3C35F73F-5A7D-4C9D-882D-0217005129B6}"/>
  <bookViews>
    <workbookView xWindow="3705" yWindow="1110" windowWidth="22140" windowHeight="12255" xr2:uid="{79663B14-43D3-C146-9AA7-7B16F32FE85D}"/>
  </bookViews>
  <sheets>
    <sheet name="Explanation" sheetId="20" r:id="rId1"/>
    <sheet name="Data_v2" sheetId="10" r:id="rId2"/>
    <sheet name="Sources_v2" sheetId="12" r:id="rId3"/>
    <sheet name="number_species_v2" sheetId="13" r:id="rId4"/>
    <sheet name="morphoVSmol" sheetId="19" r:id="rId5"/>
  </sheets>
  <definedNames>
    <definedName name="_xlnm._FilterDatabase" localSheetId="1" hidden="1">Data_v2!$A$1:$N$1</definedName>
  </definedNames>
  <calcPr calcId="191028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" l="1"/>
  <c r="F1" i="13"/>
  <c r="F2" i="13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60" i="19"/>
  <c r="S61" i="19"/>
  <c r="S62" i="19"/>
  <c r="S64" i="19"/>
  <c r="S65" i="19"/>
  <c r="S66" i="19"/>
  <c r="S67" i="19"/>
  <c r="S69" i="19"/>
  <c r="S70" i="19"/>
  <c r="S71" i="19"/>
  <c r="S73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4" i="19"/>
</calcChain>
</file>

<file path=xl/sharedStrings.xml><?xml version="1.0" encoding="utf-8"?>
<sst xmlns="http://schemas.openxmlformats.org/spreadsheetml/2006/main" count="9032" uniqueCount="606">
  <si>
    <t>A</t>
  </si>
  <si>
    <t>B</t>
  </si>
  <si>
    <t>Neither</t>
  </si>
  <si>
    <t>(blank)</t>
  </si>
  <si>
    <t>Grand Total</t>
  </si>
  <si>
    <t>Aedes</t>
  </si>
  <si>
    <t>Acartomyia</t>
  </si>
  <si>
    <t>Aedimorphus</t>
  </si>
  <si>
    <t>Borichinda</t>
  </si>
  <si>
    <t>Bothaella</t>
  </si>
  <si>
    <t>Bruceharrisonius</t>
  </si>
  <si>
    <t>Catageiomyia</t>
  </si>
  <si>
    <t>Collessius</t>
  </si>
  <si>
    <t>Cornetius</t>
  </si>
  <si>
    <t>Dahliana</t>
  </si>
  <si>
    <t>Danielsia</t>
  </si>
  <si>
    <t>Diceromyia</t>
  </si>
  <si>
    <t>Dobrotworskyius</t>
  </si>
  <si>
    <t>Downsiomyia</t>
  </si>
  <si>
    <t>Edwardsaedes</t>
  </si>
  <si>
    <t>Finlaya</t>
  </si>
  <si>
    <t>Fredwardsius</t>
  </si>
  <si>
    <t>Georgecraigius</t>
  </si>
  <si>
    <t>Geoskusea</t>
  </si>
  <si>
    <t>Gymnometopa</t>
  </si>
  <si>
    <t>Halaedes</t>
  </si>
  <si>
    <t>Himalaius</t>
  </si>
  <si>
    <t>Howardina</t>
  </si>
  <si>
    <t>Hulecoeteomyia</t>
  </si>
  <si>
    <t>Jarnellius</t>
  </si>
  <si>
    <t>Kenknightia</t>
  </si>
  <si>
    <t>Kompia</t>
  </si>
  <si>
    <t>Lewnielsenius</t>
  </si>
  <si>
    <t>Lorrainea</t>
  </si>
  <si>
    <t>Luius</t>
  </si>
  <si>
    <t>Mucidus</t>
  </si>
  <si>
    <t>Neomelaniconion</t>
  </si>
  <si>
    <t>Nyctomyia</t>
  </si>
  <si>
    <t>Ochlerotatus</t>
  </si>
  <si>
    <t>Paraedes</t>
  </si>
  <si>
    <t>Patmarksia</t>
  </si>
  <si>
    <t>Petermattinglyius</t>
  </si>
  <si>
    <t>Phagomyia</t>
  </si>
  <si>
    <t>Polyleptiomyia</t>
  </si>
  <si>
    <t>Protomacleaya</t>
  </si>
  <si>
    <t>Rampamyia</t>
  </si>
  <si>
    <t>Rhinoskusea</t>
  </si>
  <si>
    <t>Rusticoidus</t>
  </si>
  <si>
    <t>Scutomyia</t>
  </si>
  <si>
    <t>Skusea</t>
  </si>
  <si>
    <t>Stegomyia</t>
  </si>
  <si>
    <t>Tanakaius</t>
  </si>
  <si>
    <t>Armigeres</t>
  </si>
  <si>
    <t>Leicesteria</t>
  </si>
  <si>
    <t>Eretmapodites</t>
  </si>
  <si>
    <t>Haemagogus</t>
  </si>
  <si>
    <t>Conopostegus</t>
  </si>
  <si>
    <t>Heizmannia</t>
  </si>
  <si>
    <t>Mattinglyia</t>
  </si>
  <si>
    <t>Opifex</t>
  </si>
  <si>
    <t>Udaya</t>
  </si>
  <si>
    <t>Verrallina</t>
  </si>
  <si>
    <t>Harbachius</t>
  </si>
  <si>
    <t>Neomacleaya</t>
  </si>
  <si>
    <t>Zeugnomyia</t>
  </si>
  <si>
    <t>subgenus</t>
  </si>
  <si>
    <t>clade</t>
  </si>
  <si>
    <t>Count of clade</t>
  </si>
  <si>
    <t>Abraedes</t>
  </si>
  <si>
    <t>Clade</t>
  </si>
  <si>
    <t>Agree?</t>
  </si>
  <si>
    <t>Alanstonea</t>
  </si>
  <si>
    <t>Albuginosus</t>
  </si>
  <si>
    <t>Ayurakitia</t>
  </si>
  <si>
    <t>Aztecaedes</t>
  </si>
  <si>
    <t>Belkinius</t>
  </si>
  <si>
    <t>Bifidistylus</t>
  </si>
  <si>
    <t>Cancraedes</t>
  </si>
  <si>
    <t>Catatassomyia</t>
  </si>
  <si>
    <t>Christophersiomyia</t>
  </si>
  <si>
    <t>Dendroskusea</t>
  </si>
  <si>
    <t>Elpeytonius</t>
  </si>
  <si>
    <t>Gilesius</t>
  </si>
  <si>
    <t>Hopkinsius</t>
  </si>
  <si>
    <t>Huaedes</t>
  </si>
  <si>
    <t>Indusius</t>
  </si>
  <si>
    <t>Isoaedes</t>
  </si>
  <si>
    <t>Jihlienius</t>
  </si>
  <si>
    <t>Leptosomatomyia</t>
  </si>
  <si>
    <t>Levua</t>
  </si>
  <si>
    <t>Macleaya</t>
  </si>
  <si>
    <t>Molpemyia</t>
  </si>
  <si>
    <t>Paulianius</t>
  </si>
  <si>
    <t>Pseudarmigeres</t>
  </si>
  <si>
    <t>Sallumia</t>
  </si>
  <si>
    <t>Tewarius</t>
  </si>
  <si>
    <t>Vansomerenis</t>
  </si>
  <si>
    <t>Zavortinkius</t>
  </si>
  <si>
    <t>Psorophora</t>
  </si>
  <si>
    <t>Genus</t>
  </si>
  <si>
    <t>Subgenus</t>
  </si>
  <si>
    <t>Species</t>
  </si>
  <si>
    <t>Papers' Genus</t>
  </si>
  <si>
    <t>Paper's Species</t>
  </si>
  <si>
    <t>Paper's Species - Corrected</t>
  </si>
  <si>
    <t>Author</t>
  </si>
  <si>
    <t>Year</t>
  </si>
  <si>
    <t>Paper</t>
  </si>
  <si>
    <t>Clade Support/Denial</t>
  </si>
  <si>
    <t>Questions</t>
  </si>
  <si>
    <t>COI</t>
  </si>
  <si>
    <t>Janthinosoma</t>
  </si>
  <si>
    <t>Chen et al.</t>
  </si>
  <si>
    <t>Mitogenome (13 PCGs)</t>
  </si>
  <si>
    <t>Mitogenome-based phylogeny of mosquitoes</t>
  </si>
  <si>
    <t>Chu et al.</t>
  </si>
  <si>
    <t>Mitogenome (also portion of mitochondrial COI gene)</t>
  </si>
  <si>
    <t>The phylogenetic relationships of known mosquito mitogenomes</t>
  </si>
  <si>
    <t>Reidenbach et al.</t>
  </si>
  <si>
    <t>arginine kinase, CAD, catalase, enolase, hunchback, white</t>
  </si>
  <si>
    <t>Phylogenetic analysis and temporal diversification of mosquitoes based on nuclear genes and morphology</t>
  </si>
  <si>
    <t>Grouped with clade A such as Opifex and Haemagogus</t>
  </si>
  <si>
    <t>Grouped with clade A such as Opifex, on different branch than Clade B</t>
  </si>
  <si>
    <t>??</t>
  </si>
  <si>
    <t>Outgroup</t>
  </si>
  <si>
    <t>Koh et al.</t>
  </si>
  <si>
    <t>28S, 18S</t>
  </si>
  <si>
    <t>Ribosomal RNA (rRNA) sequences from 33 globally distributed mosquito species for improved metagenomics and species identification</t>
  </si>
  <si>
    <t>Psorophora separated from clade A and B grouped with Ur</t>
  </si>
  <si>
    <t>Ochlerotatus subgenus seperated from Stegomyia</t>
  </si>
  <si>
    <t>Soghigian et al.</t>
  </si>
  <si>
    <t>AHE</t>
  </si>
  <si>
    <t>Phylogenomics reveals the history of host use in mosquitoes</t>
  </si>
  <si>
    <t>Pseudoskusea</t>
  </si>
  <si>
    <t>Grabhamia</t>
  </si>
  <si>
    <t>18S, 28S, Arginine Kinase, CO1, CO2, ITS2, Enolase</t>
  </si>
  <si>
    <t>From ground pools to treeholes: convergent evolution of habitat and phenotype in Aedes mosquitoes</t>
  </si>
  <si>
    <t>Shepard et al.</t>
  </si>
  <si>
    <t xml:space="preserve">18S </t>
  </si>
  <si>
    <t>Molecular Phylogeny and Evolutionary Relationships among Mosquitoes (Diptera: Culicidae) from the Northeastern United States Based on Small Subunit Ribosomal DNA (18S rRNA) Sequences</t>
  </si>
  <si>
    <t xml:space="preserve">Lorenz et al. </t>
  </si>
  <si>
    <t>Mitogenome</t>
  </si>
  <si>
    <t>Phylogeny and Temporal diversification of mosquitoes (Diptera: Culicidae) with an emphasis on the Neotropical fauna</t>
  </si>
  <si>
    <t>Zadra et al.</t>
  </si>
  <si>
    <t>CO1, CO2, NAD4 (NADH dehydrogenase subunit 4), 16S, Enolase, Arginine Kinase, 18S, 28S</t>
  </si>
  <si>
    <t>Chronological Incongruences between Mitochondrial and Nuclear Phylogenies of Aedes Mosquitoes</t>
  </si>
  <si>
    <t>Sota et al.</t>
  </si>
  <si>
    <t>CO1, 16S, 28S</t>
  </si>
  <si>
    <t>Origin of Pitcher Plant Mosquitoes in Aedes (Stegomyia): A Molecular Phylogenetic Analysis using Mitochondrial and Nuclear Gene Seqeunces</t>
  </si>
  <si>
    <t>Should be in Clade B</t>
  </si>
  <si>
    <t>da Silva e Silva et al</t>
  </si>
  <si>
    <t>Description of the mitogenome and phylogeny of Aedes spp. (Diptera: Culicidae) from the Amazon region</t>
  </si>
  <si>
    <t>da Silva et al.</t>
  </si>
  <si>
    <t>Culicidae evolutionary history focusing on the Culicinae subfamily based on mitochondrial phylogenomics</t>
  </si>
  <si>
    <t>Cook et al.</t>
  </si>
  <si>
    <t>CO1</t>
  </si>
  <si>
    <t>Mitochondrial Markers for Molecular Identification of Aedes Mosquitoes (Diptera: Culicidae) Involved in Transmission of Arboviral Disease in West Africa</t>
  </si>
  <si>
    <t xml:space="preserve">CO1 </t>
  </si>
  <si>
    <t>CO2</t>
  </si>
  <si>
    <t>Sources</t>
  </si>
  <si>
    <t>Chen D, He S, Fu W, Yan Z, Hu Y, Yuan H, Wang M, Chen B. 2024. Mitogenome‐based phylogeny of mosquitoes (Diptera: Culicidae). Insect Science. 31(2):599–612. doi:10.1111/1744-7917.13251. [accessed 2024 May 13]. https://onlinelibrary.wiley.com/doi/10.1111/1744-7917.13251.</t>
  </si>
  <si>
    <t>Chu H, Li C, Guo X, Zhang H, Luo P, Wu Z, Wang G, Zhao T. 2018. The phylogenetic relationships of known mosquito (Diptera: Culicidae) mitogenomes. Mitochondrial DNA Part A. 29(1):31–35. doi:10.1080/24701394.2016.1233533. [accessed 2024 May 14]. https://www.tandfonline.com/doi/full/10.1080/24701394.2016.1233533.</t>
  </si>
  <si>
    <t>Koh C, Frangeul L, Blanc H, Ngoagouni C, Boyer S, Dussart P, Grau N, Girod R, Duchemin J-B, Saleh M-C. 2023. Ribosomal RNA (rRNA) sequences from 33 globally distributed mosquito species for improved metagenomics and species identification. Sawyer SL, Vosshall LB, Young KI, editors. eLife. 12:e82762. doi:10.7554/eLife.82762. [accessed 2024 May 22]. https://doi.org/10.7554/eLife.82762.</t>
  </si>
  <si>
    <t>Reidenbach KR, Cook S, Bertone MA, Harbach RE, Wiegmann BM, Besansky NJ. 2009. Phylogenetic analysis and temporal diversification of mosquitoes (Diptera: Culicidae) based on nuclear genes and morphology. BMC Evolutionary Biology. 9(1):298. doi:10.1186/1471-2148-9-298. [accessed 2024 May 22]. https://doi.org/10.1186/1471-2148-9-298.</t>
  </si>
  <si>
    <t>Dataset</t>
  </si>
  <si>
    <t>Phylogenetic analyses</t>
  </si>
  <si>
    <t>ferox</t>
  </si>
  <si>
    <t>Mitogenome (13 protein coding genes)</t>
  </si>
  <si>
    <t>Bayesian inference and maximum likelihood</t>
  </si>
  <si>
    <t>saeva</t>
  </si>
  <si>
    <t>achaetae</t>
  </si>
  <si>
    <t>subalbatus</t>
  </si>
  <si>
    <t>aegypti</t>
  </si>
  <si>
    <t>flavopictus</t>
  </si>
  <si>
    <t>albopictus</t>
  </si>
  <si>
    <t>punctor</t>
  </si>
  <si>
    <t>vittiger</t>
  </si>
  <si>
    <t>nigrithorax</t>
  </si>
  <si>
    <t>vigilax</t>
  </si>
  <si>
    <t>taeniorhynchus</t>
  </si>
  <si>
    <t>elsiae</t>
  </si>
  <si>
    <t>hatorii</t>
  </si>
  <si>
    <t>fulvus</t>
  </si>
  <si>
    <t>notoscriptus</t>
  </si>
  <si>
    <t>busckii</t>
  </si>
  <si>
    <t>alternans</t>
  </si>
  <si>
    <t>rubrithorax</t>
  </si>
  <si>
    <t>alboannulatus</t>
  </si>
  <si>
    <t>koreicus</t>
  </si>
  <si>
    <t>lineatopennis</t>
  </si>
  <si>
    <t>leucocelaenus</t>
  </si>
  <si>
    <t>tropicalis</t>
  </si>
  <si>
    <t>spegazzinii</t>
  </si>
  <si>
    <t>janthinomys</t>
  </si>
  <si>
    <t>albomaculatus</t>
  </si>
  <si>
    <t>Bayesian inference, maximum likelihood, maximum parsimony</t>
  </si>
  <si>
    <t>Bayesian likelihood analysis on amino acids</t>
  </si>
  <si>
    <t>triseriatus</t>
  </si>
  <si>
    <t>equinus</t>
  </si>
  <si>
    <t>fuscus</t>
  </si>
  <si>
    <t>quinquevittatus</t>
  </si>
  <si>
    <t>28S</t>
  </si>
  <si>
    <t>Maximum likelihood</t>
  </si>
  <si>
    <t>sticticus</t>
  </si>
  <si>
    <t>caspius</t>
  </si>
  <si>
    <t>detritus</t>
  </si>
  <si>
    <t>pulcritarsis</t>
  </si>
  <si>
    <t>rusticus</t>
  </si>
  <si>
    <t>scapularis</t>
  </si>
  <si>
    <t>serratus</t>
  </si>
  <si>
    <t>geniculatus</t>
  </si>
  <si>
    <t>vittatus</t>
  </si>
  <si>
    <t>vexans</t>
  </si>
  <si>
    <t>simpsoni</t>
  </si>
  <si>
    <t>intermedius</t>
  </si>
  <si>
    <t>Limatus durhamii (Sabethini) immediate outgroup to clades A and B, but bootstrap support of 5%. Psorophora ferox grouped with Uranotaenia spp.</t>
  </si>
  <si>
    <t>malayi</t>
  </si>
  <si>
    <t>cinereus</t>
  </si>
  <si>
    <t>lineata</t>
  </si>
  <si>
    <t>funerea</t>
  </si>
  <si>
    <t>carmenti</t>
  </si>
  <si>
    <t>centropunctatus</t>
  </si>
  <si>
    <t>argenteopunctatus</t>
  </si>
  <si>
    <t>dalzieli</t>
  </si>
  <si>
    <t>cumminsii</t>
  </si>
  <si>
    <t>hirsutus</t>
  </si>
  <si>
    <t>fowleri</t>
  </si>
  <si>
    <t>pembaensis</t>
  </si>
  <si>
    <t>cozi</t>
  </si>
  <si>
    <t>taylori</t>
  </si>
  <si>
    <t>furcifer</t>
  </si>
  <si>
    <t>polynesiensis</t>
  </si>
  <si>
    <t>riversi</t>
  </si>
  <si>
    <t>mascarensis</t>
  </si>
  <si>
    <t>luteocephalus</t>
  </si>
  <si>
    <t>africanus</t>
  </si>
  <si>
    <t>africanusA</t>
  </si>
  <si>
    <t>africanusB</t>
  </si>
  <si>
    <t>metallicus</t>
  </si>
  <si>
    <t>bromeliae</t>
  </si>
  <si>
    <t>provocans</t>
  </si>
  <si>
    <t>bancroftianus</t>
  </si>
  <si>
    <t>multiplex</t>
  </si>
  <si>
    <t>australis</t>
  </si>
  <si>
    <t>wardangensis</t>
  </si>
  <si>
    <t>procax</t>
  </si>
  <si>
    <t>flavifrons</t>
  </si>
  <si>
    <t>aculeatus</t>
  </si>
  <si>
    <t>kochi</t>
  </si>
  <si>
    <t>mediovittatus</t>
  </si>
  <si>
    <t>fluviatilis</t>
  </si>
  <si>
    <t>epactius</t>
  </si>
  <si>
    <t>atropalpus</t>
  </si>
  <si>
    <t>mitchellae</t>
  </si>
  <si>
    <t>sollicitans</t>
  </si>
  <si>
    <t>nigromaculis</t>
  </si>
  <si>
    <t>spencerii</t>
  </si>
  <si>
    <t>fulvuspallens</t>
  </si>
  <si>
    <t>dupreei</t>
  </si>
  <si>
    <t>tormentor</t>
  </si>
  <si>
    <t>atlanticus</t>
  </si>
  <si>
    <t>infirmatus</t>
  </si>
  <si>
    <t>trivittatus</t>
  </si>
  <si>
    <t>thelcter</t>
  </si>
  <si>
    <t>tortilis</t>
  </si>
  <si>
    <t>obturbator</t>
  </si>
  <si>
    <t>dorsalis</t>
  </si>
  <si>
    <t>burgeri</t>
  </si>
  <si>
    <t>hendersoni</t>
  </si>
  <si>
    <t>brelandi</t>
  </si>
  <si>
    <t>japonicus</t>
  </si>
  <si>
    <t>palmarum</t>
  </si>
  <si>
    <t>rupestris</t>
  </si>
  <si>
    <t>subbasalis</t>
  </si>
  <si>
    <t>milsoni</t>
  </si>
  <si>
    <t>subgen_uncertain</t>
  </si>
  <si>
    <t>candidoscutellum</t>
  </si>
  <si>
    <t>monocellatus</t>
  </si>
  <si>
    <t>spinosipes</t>
  </si>
  <si>
    <t>tremulus</t>
  </si>
  <si>
    <t>quinquelineatus</t>
  </si>
  <si>
    <t>purpureipes</t>
  </si>
  <si>
    <t>muelleri</t>
  </si>
  <si>
    <t>sierrensis</t>
  </si>
  <si>
    <t>monticola</t>
  </si>
  <si>
    <t>varipalpus</t>
  </si>
  <si>
    <t>camptorhynchus</t>
  </si>
  <si>
    <t>nivalis</t>
  </si>
  <si>
    <t>silvestris</t>
  </si>
  <si>
    <t>canadensis</t>
  </si>
  <si>
    <t>pionips</t>
  </si>
  <si>
    <t>hexodontus</t>
  </si>
  <si>
    <t>nigripes</t>
  </si>
  <si>
    <t>diantaeus</t>
  </si>
  <si>
    <t>intrudens</t>
  </si>
  <si>
    <t>niphadopsis</t>
  </si>
  <si>
    <t>impiger</t>
  </si>
  <si>
    <t>implicatus</t>
  </si>
  <si>
    <t>increpitus</t>
  </si>
  <si>
    <t>washinoi</t>
  </si>
  <si>
    <t>flavescens</t>
  </si>
  <si>
    <t>excrucians</t>
  </si>
  <si>
    <t>fitchii</t>
  </si>
  <si>
    <t>signipennis</t>
  </si>
  <si>
    <t>pygmaea</t>
  </si>
  <si>
    <t>discolor</t>
  </si>
  <si>
    <t>jamaicensis</t>
  </si>
  <si>
    <t>columbiae</t>
  </si>
  <si>
    <t>toltecum</t>
  </si>
  <si>
    <t>howardii</t>
  </si>
  <si>
    <t>ciliata</t>
  </si>
  <si>
    <t>cyanescens</t>
  </si>
  <si>
    <t>albigenu</t>
  </si>
  <si>
    <t>mathesoni</t>
  </si>
  <si>
    <t>horrida</t>
  </si>
  <si>
    <t>formosensis</t>
  </si>
  <si>
    <t>tonkinensis</t>
  </si>
  <si>
    <t>pseudotaeniatus</t>
  </si>
  <si>
    <t>chrysolineatus</t>
  </si>
  <si>
    <t>harveyi</t>
  </si>
  <si>
    <t>portonovoensis</t>
  </si>
  <si>
    <t>wardi</t>
  </si>
  <si>
    <t>togoi</t>
  </si>
  <si>
    <t>savoryi</t>
  </si>
  <si>
    <t>eatoni</t>
  </si>
  <si>
    <t>baisasi</t>
  </si>
  <si>
    <t>dissimilis</t>
  </si>
  <si>
    <t>khazani</t>
  </si>
  <si>
    <t>prominens</t>
  </si>
  <si>
    <t>assamensis</t>
  </si>
  <si>
    <t>watasei</t>
  </si>
  <si>
    <t>oreophilus</t>
  </si>
  <si>
    <t>ashworthi</t>
  </si>
  <si>
    <t>mallochi</t>
  </si>
  <si>
    <t>greenii</t>
  </si>
  <si>
    <t>aureostriatus</t>
  </si>
  <si>
    <t>gilli</t>
  </si>
  <si>
    <t>terrens</t>
  </si>
  <si>
    <t>zoosophus</t>
  </si>
  <si>
    <t>pertinax</t>
  </si>
  <si>
    <t>crinifer</t>
  </si>
  <si>
    <t>angustivittatus</t>
  </si>
  <si>
    <t>ventrovittis</t>
  </si>
  <si>
    <t>nigrinus</t>
  </si>
  <si>
    <t>albifasciatus</t>
  </si>
  <si>
    <t>bimaculatus</t>
  </si>
  <si>
    <t>bicristatus</t>
  </si>
  <si>
    <t>wattensis</t>
  </si>
  <si>
    <t>macmillani</t>
  </si>
  <si>
    <t>mesodentatus</t>
  </si>
  <si>
    <t>fulvithorax</t>
  </si>
  <si>
    <t>bahamensis</t>
  </si>
  <si>
    <t>sudanensis</t>
  </si>
  <si>
    <t>annulipes</t>
  </si>
  <si>
    <t>cantans</t>
  </si>
  <si>
    <t>stimulans</t>
  </si>
  <si>
    <t>euedes</t>
  </si>
  <si>
    <t>aloponotum</t>
  </si>
  <si>
    <t>behningi</t>
  </si>
  <si>
    <t>riparius</t>
  </si>
  <si>
    <t>kasachstanicus</t>
  </si>
  <si>
    <t>cyprius</t>
  </si>
  <si>
    <t>squamiger</t>
  </si>
  <si>
    <t>grossbecki</t>
  </si>
  <si>
    <t>cataphylla</t>
  </si>
  <si>
    <t>leucomelas</t>
  </si>
  <si>
    <t>rempeli</t>
  </si>
  <si>
    <t>abserratus</t>
  </si>
  <si>
    <t>schizopinax</t>
  </si>
  <si>
    <t>communis</t>
  </si>
  <si>
    <t>churchillensis</t>
  </si>
  <si>
    <t>tahoensis</t>
  </si>
  <si>
    <t>pullatus</t>
  </si>
  <si>
    <t>coluzzii</t>
  </si>
  <si>
    <t>cantator</t>
  </si>
  <si>
    <t>thibaulti</t>
  </si>
  <si>
    <t>aurifer</t>
  </si>
  <si>
    <t>zammitii</t>
  </si>
  <si>
    <t>phoeniciae</t>
  </si>
  <si>
    <t>mariae</t>
  </si>
  <si>
    <t>campestris</t>
  </si>
  <si>
    <t>melanimon</t>
  </si>
  <si>
    <t>omorii</t>
  </si>
  <si>
    <t>nipponicus</t>
  </si>
  <si>
    <t>novoniveus</t>
  </si>
  <si>
    <t>nishikawai</t>
  </si>
  <si>
    <t>niveoides</t>
  </si>
  <si>
    <t>albolateralis</t>
  </si>
  <si>
    <t>albotaeniatus</t>
  </si>
  <si>
    <t>fengi</t>
  </si>
  <si>
    <t>deserticola</t>
  </si>
  <si>
    <t>hungaricus</t>
  </si>
  <si>
    <t>refiki</t>
  </si>
  <si>
    <t>sagax</t>
  </si>
  <si>
    <t>theobaldi</t>
  </si>
  <si>
    <t>yamadai</t>
  </si>
  <si>
    <t>rossicus</t>
  </si>
  <si>
    <t>geminus</t>
  </si>
  <si>
    <t>esoensis</t>
  </si>
  <si>
    <t>barraudi</t>
  </si>
  <si>
    <t>collessi</t>
  </si>
  <si>
    <t>butleri</t>
  </si>
  <si>
    <t>lugubris</t>
  </si>
  <si>
    <t>indica</t>
  </si>
  <si>
    <t>pseudomediofasciata</t>
  </si>
  <si>
    <t>nobukonis</t>
  </si>
  <si>
    <t>bekkui</t>
  </si>
  <si>
    <t>nigropterus</t>
  </si>
  <si>
    <t>nigropterum</t>
  </si>
  <si>
    <t>belleci</t>
  </si>
  <si>
    <t>palpalis</t>
  </si>
  <si>
    <t>palpale</t>
  </si>
  <si>
    <t>dentatus</t>
  </si>
  <si>
    <t>circumluteolus</t>
  </si>
  <si>
    <t>mcintoshi</t>
  </si>
  <si>
    <t>fontenillei</t>
  </si>
  <si>
    <t>sylvaticus</t>
  </si>
  <si>
    <t>sylvaticum</t>
  </si>
  <si>
    <t>albiradius</t>
  </si>
  <si>
    <t>ochraceus</t>
  </si>
  <si>
    <t>albocephalus</t>
  </si>
  <si>
    <t>pallidostriatus</t>
  </si>
  <si>
    <t>mediolineatus</t>
  </si>
  <si>
    <t>tarsalis</t>
  </si>
  <si>
    <t>manhi</t>
  </si>
  <si>
    <t>helenae</t>
  </si>
  <si>
    <t>kleini</t>
  </si>
  <si>
    <t>pholeocola</t>
  </si>
  <si>
    <t>cavernicola</t>
  </si>
  <si>
    <t>albolineatus</t>
  </si>
  <si>
    <t>amesii</t>
  </si>
  <si>
    <t>fumidus</t>
  </si>
  <si>
    <t>iyengari</t>
  </si>
  <si>
    <t>hensilli</t>
  </si>
  <si>
    <t>scutellaris</t>
  </si>
  <si>
    <t>dybasi</t>
  </si>
  <si>
    <t>palauensis</t>
  </si>
  <si>
    <t>daitensis</t>
  </si>
  <si>
    <t>pseudoscutellaris</t>
  </si>
  <si>
    <t>maehleri</t>
  </si>
  <si>
    <t>tongae</t>
  </si>
  <si>
    <t>subalbopictus</t>
  </si>
  <si>
    <t>pseudalbopictus</t>
  </si>
  <si>
    <t>malikuli</t>
  </si>
  <si>
    <t>cretinus</t>
  </si>
  <si>
    <t>galloisi</t>
  </si>
  <si>
    <t>annandalei</t>
  </si>
  <si>
    <t>craggi</t>
  </si>
  <si>
    <t>w-albus</t>
  </si>
  <si>
    <t>unilineatus</t>
  </si>
  <si>
    <t>desmotes</t>
  </si>
  <si>
    <t>lilii</t>
  </si>
  <si>
    <t>denderensis</t>
  </si>
  <si>
    <t>wadai</t>
  </si>
  <si>
    <t>pia</t>
  </si>
  <si>
    <t>durhami</t>
  </si>
  <si>
    <t>kesseli</t>
  </si>
  <si>
    <t>obturbans</t>
  </si>
  <si>
    <t>flavus</t>
  </si>
  <si>
    <t>gracilis</t>
  </si>
  <si>
    <t>menglianensis</t>
  </si>
  <si>
    <t>lii</t>
  </si>
  <si>
    <t>proxima</t>
  </si>
  <si>
    <t>reidi</t>
  </si>
  <si>
    <t>chengi</t>
  </si>
  <si>
    <t>subsimilis</t>
  </si>
  <si>
    <t>discrepans</t>
  </si>
  <si>
    <t>confinnis</t>
  </si>
  <si>
    <t>cingulata</t>
  </si>
  <si>
    <t>insularius</t>
  </si>
  <si>
    <t>insularia</t>
  </si>
  <si>
    <t>longipalpus</t>
  </si>
  <si>
    <t>Neighbour joining and maximum likelihood</t>
  </si>
  <si>
    <t>argenteopunctata</t>
  </si>
  <si>
    <t>Bayesian inference</t>
  </si>
  <si>
    <t>albipes</t>
  </si>
  <si>
    <t>Bayesian inference and Maximum likelihood</t>
  </si>
  <si>
    <t>Clade A is nestled in Clade B, nodes with low support value</t>
  </si>
  <si>
    <t>mitogenome (13 coding proteins, 22tRNAs, 2rRNA genes)</t>
  </si>
  <si>
    <t>Shallow Whole-Genome Sequencing of Aedes japonicus and Aedes koreicus from Italy and an Updated Picture of Their Evolution Based on Mitogenomics and Barcoding</t>
  </si>
  <si>
    <t>BUSCO genes from genomic and transcriptomic sequencing</t>
  </si>
  <si>
    <t>Ma et al.</t>
  </si>
  <si>
    <t>First description of the mitogenome and phylogeny:Aedes vexansand Ochlerotatus caspius of the Tribe Aedini (Diptera: Culicidae)</t>
  </si>
  <si>
    <t>Andreadis et al.</t>
  </si>
  <si>
    <t>18S</t>
  </si>
  <si>
    <t>Maximum parsimony, Maximum likelihood and Neighbor Joining</t>
  </si>
  <si>
    <t>Ultrastructural characterization and comparative phylogenetic analysis of new microsporidia from Siberian mosquitoes: Evidence for coevolution and host switching</t>
  </si>
  <si>
    <t>Bang et al.</t>
  </si>
  <si>
    <t>COI, ITS2, 28S, and enolase</t>
  </si>
  <si>
    <t xml:space="preserve">Insights from multigene analysis: first report of a Southeast Asian Mosquito, Aedes (Mucidus) laniger (Diptera: Culicidae) on Jeju Island from Korea. </t>
  </si>
  <si>
    <t>laniger</t>
  </si>
  <si>
    <t>Phylogeny used in this review</t>
  </si>
  <si>
    <t>Clade A</t>
  </si>
  <si>
    <t>Clade B</t>
  </si>
  <si>
    <t>Support for separation of Clades A and B</t>
  </si>
  <si>
    <t>Psorophora placement</t>
  </si>
  <si>
    <t>Support for Psorophora placement</t>
  </si>
  <si>
    <t>Inference method(s)</t>
  </si>
  <si>
    <t>Notes</t>
  </si>
  <si>
    <t>Andreadis, T. G., Simakova, A. V., Vossbrinck, C. R., Shepard, J. J., &amp; Yurchenko, Y. A. (2012). Ultrastructural characterization and comparative phylogenetic analysis of new microsporidia from Siberian mosquitoes: evidence for coevolution and host switching. Journal of Invertebrate Pathology, 109(1), 59-75.</t>
  </si>
  <si>
    <t>NJ tree (Fig 6)</t>
  </si>
  <si>
    <t>Monophyletic</t>
  </si>
  <si>
    <t>95% (bootstrap)</t>
  </si>
  <si>
    <t>NA</t>
  </si>
  <si>
    <t>NJ, ML and MP topologies highly congruent</t>
  </si>
  <si>
    <t>Bang, W. J., Seol, A., &amp; Shin, S. (2024). Insights from multigene analysis: first report of a Southeast Asian Mosquito, Aedes (Mucidus) laniger (Diptera: Culicidae) on Jeju Island from Korea. Parasites &amp; Vectors, 17(1), 386.</t>
  </si>
  <si>
    <t>ML tree (Fig 3)</t>
  </si>
  <si>
    <t>100% (bootstrap)</t>
  </si>
  <si>
    <t>Sister to the rest of the aedine species</t>
  </si>
  <si>
    <t>Designated as the outgroup</t>
  </si>
  <si>
    <t>Bayesian tree (Fig 7)</t>
  </si>
  <si>
    <t>Branches basal to clade B</t>
  </si>
  <si>
    <t>Separation of clade B, 0.7 (posterior probability)</t>
  </si>
  <si>
    <t>1 (posterior probability)</t>
  </si>
  <si>
    <t>Bayesian and ML clade topology congruent</t>
  </si>
  <si>
    <r>
      <rPr>
        <sz val="11"/>
        <color rgb="FF000000"/>
        <rFont val="Aptos Narrow"/>
        <scheme val="minor"/>
      </rPr>
      <t xml:space="preserve">Mitogenome </t>
    </r>
    <r>
      <rPr>
        <sz val="11"/>
        <color rgb="FFC00000"/>
        <rFont val="Aptos Narrow"/>
        <scheme val="minor"/>
      </rPr>
      <t>(12,606 bp fragment of the COI gene?)</t>
    </r>
  </si>
  <si>
    <t>Bayesian tree (Fig 1)</t>
  </si>
  <si>
    <t>Maximum parsimony, maximum likelihood and bayesian inference</t>
  </si>
  <si>
    <t>Bayesian tree indicated to be the best tree using S-H test. "MP, ML and BI tree nearly identical" (Chu et al 2018), MP and ML trees not shown</t>
  </si>
  <si>
    <r>
      <rPr>
        <sz val="8"/>
        <color rgb="FF000000"/>
        <rFont val="Aptos Narrow"/>
        <scheme val="minor"/>
      </rPr>
      <t xml:space="preserve">Cook, S., Diallo, M., Sall, A. A., Cooper, A., &amp; Holmes, E. C. (2005). Mitochondrial markers for molecular identification of </t>
    </r>
    <r>
      <rPr>
        <i/>
        <sz val="8"/>
        <color rgb="FF000000"/>
        <rFont val="Aptos Narrow"/>
        <scheme val="minor"/>
      </rPr>
      <t>aedes</t>
    </r>
    <r>
      <rPr>
        <sz val="8"/>
        <color rgb="FF000000"/>
        <rFont val="Aptos Narrow"/>
        <scheme val="minor"/>
      </rPr>
      <t xml:space="preserve"> mosquitoes (Diptera: Culicidae) involved in transmission of arboviral disease in west africa. </t>
    </r>
    <r>
      <rPr>
        <i/>
        <sz val="8"/>
        <color rgb="FF000000"/>
        <rFont val="Aptos Narrow"/>
        <scheme val="minor"/>
      </rPr>
      <t>Journal of Medical Entomology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42</t>
    </r>
    <r>
      <rPr>
        <sz val="8"/>
        <color rgb="FF000000"/>
        <rFont val="Aptos Narrow"/>
        <scheme val="minor"/>
      </rPr>
      <t>(1), 19–28. https://doi.org/10.1093/jmedent/42.1.19</t>
    </r>
  </si>
  <si>
    <t>ML COI tree (Fig 3)</t>
  </si>
  <si>
    <t>Not monophyletic</t>
  </si>
  <si>
    <t>&lt;50% (bootstrap)</t>
  </si>
  <si>
    <t>Aedes taylori and Aedes furcifer basal to rest of aedine species. A few Culex and toxorhynchites species nested within aedini clade</t>
  </si>
  <si>
    <t>COII</t>
  </si>
  <si>
    <t>ML COII  tree (Fig 4)</t>
  </si>
  <si>
    <t>Monophyletic. Separation of species within Clade A (99% bootstrap)</t>
  </si>
  <si>
    <r>
      <rPr>
        <sz val="8"/>
        <color rgb="FF000000"/>
        <rFont val="Aptos Narrow"/>
        <scheme val="minor"/>
      </rPr>
      <t xml:space="preserve">da Silva, A. F., Machado, L. C., de Paula, M. B., da Silva Pessoa Vieira, C. J., de Morais Bronzoni, R. V., de Melo Santos, M. A. V., &amp; Wallau, G. L. (2020). Culicidae evolutionary history focusing on the Culicinae subfamily based on mitochondrial phylogenomics. </t>
    </r>
    <r>
      <rPr>
        <i/>
        <sz val="8"/>
        <color rgb="FF000000"/>
        <rFont val="Aptos Narrow"/>
        <scheme val="minor"/>
      </rPr>
      <t>Scientific Reports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10</t>
    </r>
    <r>
      <rPr>
        <sz val="8"/>
        <color rgb="FF000000"/>
        <rFont val="Aptos Narrow"/>
        <scheme val="minor"/>
      </rPr>
      <t>(1), 18823. https://doi.org/10.1038/s41598-020-74883-3</t>
    </r>
  </si>
  <si>
    <t>Mitogenome (13 PCGs, 2 rRNA)</t>
  </si>
  <si>
    <t>BI tree (Fig 4)</t>
  </si>
  <si>
    <t>Monophyletic except for Aedes fluviatilis</t>
  </si>
  <si>
    <t>Maximum likelihood and Bayesian inference</t>
  </si>
  <si>
    <t>BI and ML clade topology congruent. Aedes fluviatilis not placed in either clade A or B.</t>
  </si>
  <si>
    <r>
      <t xml:space="preserve">da Silva e Silva, L. H., da Silva, F. S., Medeiros, D. B. de A., Cruz, A. C. R., da Silva, S. P., Aragão, A. de O., Dias, D. D., Sena do Nascimento, B. L., Júnior, J. W. R., Vieira, D. B. R., Monteiro, H. A. de O., &amp; Neto, J. P. N. (2022). Description of the mitogenome and phylogeny of </t>
    </r>
    <r>
      <rPr>
        <i/>
        <sz val="8"/>
        <color rgb="FF000000"/>
        <rFont val="Aptos Narrow"/>
        <scheme val="minor"/>
      </rPr>
      <t>Aedes</t>
    </r>
    <r>
      <rPr>
        <sz val="8"/>
        <color rgb="FF000000"/>
        <rFont val="Aptos Narrow"/>
        <scheme val="minor"/>
      </rPr>
      <t xml:space="preserve"> spp. (Diptera: Culicidae) from the Amazon region. </t>
    </r>
    <r>
      <rPr>
        <i/>
        <sz val="8"/>
        <color rgb="FF000000"/>
        <rFont val="Aptos Narrow"/>
        <scheme val="minor"/>
      </rPr>
      <t>Acta Tropica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232</t>
    </r>
    <r>
      <rPr>
        <sz val="8"/>
        <color rgb="FF000000"/>
        <rFont val="Aptos Narrow"/>
        <scheme val="minor"/>
      </rPr>
      <t>, 106500. https://doi.org/10.1016/j.actatropica.2022.106500</t>
    </r>
  </si>
  <si>
    <t>ML tree (Fig 6)</t>
  </si>
  <si>
    <r>
      <rPr>
        <sz val="8"/>
        <color rgb="FF000000"/>
        <rFont val="Aptos Narrow"/>
        <scheme val="minor"/>
      </rPr>
      <t xml:space="preserve">Lorenz, C., Alves, J. M. P., Foster, P. G., Suesdek, L., &amp; Sallum, M. A. M. (2021). Phylogeny and temporal diversification of mosquitoes (Diptera: Culicidae) with an emphasis on the Neotropical fauna. </t>
    </r>
    <r>
      <rPr>
        <i/>
        <sz val="8"/>
        <color rgb="FF000000"/>
        <rFont val="Aptos Narrow"/>
        <scheme val="minor"/>
      </rPr>
      <t>Systematic Entomology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46</t>
    </r>
    <r>
      <rPr>
        <sz val="8"/>
        <color rgb="FF000000"/>
        <rFont val="Aptos Narrow"/>
        <scheme val="minor"/>
      </rPr>
      <t>(4), 798–811. https://doi.org/10.1111/syen.12489</t>
    </r>
  </si>
  <si>
    <t>BI tree (Fig 5)</t>
  </si>
  <si>
    <t>BI and ML clade topology congruent</t>
  </si>
  <si>
    <t>98% (bootstrap)</t>
  </si>
  <si>
    <t>Psorophora clustered with Uranotaenia species (61% bootstrap). Sister to the rest of the aedine species and Limatus durhamii</t>
  </si>
  <si>
    <t>12% (bootstrap)</t>
  </si>
  <si>
    <t>18S and 28S</t>
  </si>
  <si>
    <t>ML tree (Fig 4)</t>
  </si>
  <si>
    <t>99% (bootstrap)</t>
  </si>
  <si>
    <t>44% (bootstrap)</t>
  </si>
  <si>
    <t>Ma, X. X., Wang, F. F., Wu, T. T., Li, Y., Sun, X. J., Wang, C. R., &amp; Chang, Q. C. (2022). First description of the mitogenome and phylogeny: Aedes vexansand Ochlerotatus caspius of the Tribe Aedini (Diptera: Culicidae). Infection, Genetics and Evolution, 102, 105311.</t>
  </si>
  <si>
    <t>mitogenome (13 PCGs)</t>
  </si>
  <si>
    <t xml:space="preserve">ML and BI tree (Fig 7) </t>
  </si>
  <si>
    <t>100% (bootstrap)
0.99 (posterior probability)</t>
  </si>
  <si>
    <t>99% (bootstrap)
1 (posterior probability)</t>
  </si>
  <si>
    <t>Maximum likelihood, Bayesian inference</t>
  </si>
  <si>
    <t>arginine kinase, CAD, catalase, enolase, hunchback, white (amino acids)</t>
  </si>
  <si>
    <t>BI tree (Fig 3)</t>
  </si>
  <si>
    <t>Bayesian inference, Maximum likelihood, Maximum parsimony</t>
  </si>
  <si>
    <t>Tree inference was also carried out with morphological dataset of 80 characters together with molecular data. Tree topoplogies were congruent across well-supported nodes; Tree with the best overall support was based on bayesian inference of amino acid sequences</t>
  </si>
  <si>
    <r>
      <rPr>
        <sz val="8"/>
        <color rgb="FF000000"/>
        <rFont val="Aptos Narrow"/>
        <scheme val="minor"/>
      </rPr>
      <t xml:space="preserve">Shepard, J. J., Andreadis, T. G., &amp; Vossbrinck, C. R. (2006). Molecular phylogeny and evolutionary relationships among mosquitoes (Diptera: Culicidae) from the northeastern united states based on small subunit ribosomal dna (18S rDNA) sequences. </t>
    </r>
    <r>
      <rPr>
        <i/>
        <sz val="8"/>
        <color rgb="FF000000"/>
        <rFont val="Aptos Narrow"/>
        <scheme val="minor"/>
      </rPr>
      <t>Journal of Medical Entomology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43</t>
    </r>
    <r>
      <rPr>
        <sz val="8"/>
        <color rgb="FF000000"/>
        <rFont val="Aptos Narrow"/>
        <scheme val="minor"/>
      </rPr>
      <t>(3), 443–454. https://doi.org/10.1093/jmedent/43.3.443</t>
    </r>
  </si>
  <si>
    <t>ML tree (Fig 2)</t>
  </si>
  <si>
    <t>Sister (but not an immediate outgroup) to the rest of the aedine species</t>
  </si>
  <si>
    <t>Maximum Likelihood, maximum parsimony, neighbour joining</t>
  </si>
  <si>
    <t>Topologies of ML and NJ tree similar. MP tree not shown</t>
  </si>
  <si>
    <r>
      <rPr>
        <sz val="8"/>
        <color rgb="FF000000"/>
        <rFont val="Aptos Narrow"/>
        <scheme val="minor"/>
      </rPr>
      <t xml:space="preserve">Soghigian, J., Andreadis, T. G., &amp; Livdahl, T. P. (2017). From ground pools to treeholes: Convergent evolution of habitat and phenotype in Aedes mosquitoes. </t>
    </r>
    <r>
      <rPr>
        <i/>
        <sz val="8"/>
        <color rgb="FF000000"/>
        <rFont val="Aptos Narrow"/>
        <scheme val="minor"/>
      </rPr>
      <t>BMC Evolutionary Biology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17</t>
    </r>
    <r>
      <rPr>
        <sz val="8"/>
        <color rgb="FF000000"/>
        <rFont val="Aptos Narrow"/>
        <scheme val="minor"/>
      </rPr>
      <t>(1), 262. https://doi.org/10.1186/s12862-017-1092-y</t>
    </r>
  </si>
  <si>
    <t>ML tree (Fig 1)</t>
  </si>
  <si>
    <t>100% (SH-like support)</t>
  </si>
  <si>
    <t>Sister to the rest of the aedine species (phylogeny was rooted with Culex quinquefasciatus although not shown in figure)</t>
  </si>
  <si>
    <r>
      <rPr>
        <sz val="8"/>
        <color rgb="FF000000"/>
        <rFont val="Aptos Narrow"/>
        <scheme val="minor"/>
      </rPr>
      <t xml:space="preserve">Soghigian, J., Sither, C., Justi, S. A., Morinaga, G., Cassel, B. K., Vitek, C. J., Livdahl, T., Xia, S., Gloria-Soria, A., Powell, J. R., Zavortink, T., Hardy, C. M., Burkett-Cadena, N. D., Reeves, L. E., Wilkerson, R. C., Dunn, R. R., Yeates, D. K., Sallum, M. A., Byrd, B. D., … Wiegmann, B. M. (2023). Phylogenomics reveals the history of host use in mosquitoes. </t>
    </r>
    <r>
      <rPr>
        <i/>
        <sz val="8"/>
        <color rgb="FF000000"/>
        <rFont val="Aptos Narrow"/>
        <scheme val="minor"/>
      </rPr>
      <t>Nature Communications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14</t>
    </r>
    <r>
      <rPr>
        <sz val="8"/>
        <color rgb="FF000000"/>
        <rFont val="Aptos Narrow"/>
        <scheme val="minor"/>
      </rPr>
      <t>(1), 6252. https://doi.org/10.1038/s41467-023-41764-y</t>
    </r>
  </si>
  <si>
    <t>Anchored hybrid enrichment (amino acid sequences from 709 genes)</t>
  </si>
  <si>
    <t>100% (ultrafast bootstrap)
100% (SH-aLRT support)</t>
  </si>
  <si>
    <t>100% (ultrafast bootstrap)
100% (SH-aLRT)</t>
  </si>
  <si>
    <r>
      <rPr>
        <sz val="8"/>
        <color rgb="FF000000"/>
        <rFont val="Aptos Narrow"/>
        <scheme val="minor"/>
      </rPr>
      <t xml:space="preserve">Sota, T., &amp; Mogi, M. (2006). Origin of pitcher plant mosquitoes in Aedes (Stegomyia): A molecular phylogenetic analysis using mitochondrial and nuclear gene sequences. </t>
    </r>
    <r>
      <rPr>
        <i/>
        <sz val="8"/>
        <color rgb="FF000000"/>
        <rFont val="Aptos Narrow"/>
        <scheme val="minor"/>
      </rPr>
      <t>Journal of Medical Entomology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43</t>
    </r>
    <r>
      <rPr>
        <sz val="8"/>
        <color rgb="FF000000"/>
        <rFont val="Aptos Narrow"/>
        <scheme val="minor"/>
      </rPr>
      <t>(5), 795–800. https://doi.org/10.1603/0022-2585(2006)43[795:ooppmi]2.0.co;2</t>
    </r>
  </si>
  <si>
    <t>BI tree (Fig 1d)</t>
  </si>
  <si>
    <t>Rooted with species from Clade A, but topology within Clade B has a support of 1 (posterior probability) and 100% (bootstrap)</t>
  </si>
  <si>
    <r>
      <rPr>
        <sz val="8"/>
        <color rgb="FF000000"/>
        <rFont val="Aptos Narrow"/>
        <scheme val="minor"/>
      </rPr>
      <t xml:space="preserve">Zadra, N., Rizzoli, A., &amp; Rota-Stabelli, O. (2021). Chronological incongruences between mitochondrial and nuclear phylogenies of aedes mosquitoes. </t>
    </r>
    <r>
      <rPr>
        <i/>
        <sz val="8"/>
        <color rgb="FF000000"/>
        <rFont val="Aptos Narrow"/>
        <scheme val="minor"/>
      </rPr>
      <t>Life</t>
    </r>
    <r>
      <rPr>
        <sz val="8"/>
        <color rgb="FF000000"/>
        <rFont val="Aptos Narrow"/>
        <scheme val="minor"/>
      </rPr>
      <t xml:space="preserve">, </t>
    </r>
    <r>
      <rPr>
        <i/>
        <sz val="8"/>
        <color rgb="FF000000"/>
        <rFont val="Aptos Narrow"/>
        <scheme val="minor"/>
      </rPr>
      <t>11</t>
    </r>
    <r>
      <rPr>
        <sz val="8"/>
        <color rgb="FF000000"/>
        <rFont val="Aptos Narrow"/>
        <scheme val="minor"/>
      </rPr>
      <t>(3), 181. https://doi.org/10.3390/life11030181</t>
    </r>
  </si>
  <si>
    <t>CO1, CO2, NAD4, 16S, Enolase, Arginine Kinase, 18S, 28S</t>
  </si>
  <si>
    <t>BI tree (Fig 1A)</t>
  </si>
  <si>
    <t>Clade topology of ML tree congruent with BI tree when analyzed with GTR+G, but not CAT+G</t>
  </si>
  <si>
    <r>
      <rPr>
        <sz val="8"/>
        <color rgb="FF000000"/>
        <rFont val="Aptos Narrow"/>
        <scheme val="minor"/>
      </rPr>
      <t xml:space="preserve">Zadra, N., Tatti, A., Silverj, A., Piccinno, R., Devilliers, J., Lewis, C., ... &amp; Rota-Stabelli, O. (2023). Shallow Whole-Genome Sequencing of Aedes japonicus and Aedes koreicus from Italy and an Updated Picture of Their Evolution Based on Mitogenomics and Barcoding. </t>
    </r>
    <r>
      <rPr>
        <i/>
        <sz val="8"/>
        <color rgb="FF000000"/>
        <rFont val="Aptos Narrow"/>
        <scheme val="minor"/>
      </rPr>
      <t>Insects</t>
    </r>
    <r>
      <rPr>
        <sz val="8"/>
        <color rgb="FF000000"/>
        <rFont val="Aptos Narrow"/>
        <scheme val="minor"/>
      </rPr>
      <t>, 14(12), 904. https://doi.org/10.3390/insects14120904</t>
    </r>
  </si>
  <si>
    <t>ML tree (Fig 2B)</t>
  </si>
  <si>
    <t>mitogenome (13 PCGs, 22tRNAs, 2rRNA genes)</t>
  </si>
  <si>
    <t>genus</t>
  </si>
  <si>
    <t>species</t>
  </si>
  <si>
    <t>Coetzeemyia</t>
  </si>
  <si>
    <t>Pseudalbuginosus</t>
  </si>
  <si>
    <t>Nothoskusea</t>
  </si>
  <si>
    <t>source</t>
  </si>
  <si>
    <t>rhk2009</t>
  </si>
  <si>
    <t>mol</t>
  </si>
  <si>
    <t>molecular</t>
  </si>
  <si>
    <t>final clade</t>
  </si>
  <si>
    <t>new tree</t>
  </si>
  <si>
    <t>No mol and morpho</t>
  </si>
  <si>
    <t>elevated from Levua</t>
  </si>
  <si>
    <t>neither</t>
  </si>
  <si>
    <t>Yes</t>
  </si>
  <si>
    <t>No morpho</t>
  </si>
  <si>
    <t>based on morpho similarities to Diceromyia</t>
  </si>
  <si>
    <t>morpho similarities with Aedimorphus, Albuginosus, Diceromyia and Stegomyia</t>
  </si>
  <si>
    <t>No mol</t>
  </si>
  <si>
    <t>Tabs contained here summarize our review of relevant phylogenies.</t>
  </si>
  <si>
    <t>Data_v2</t>
  </si>
  <si>
    <t>Species list from molecular phylogenies evaluated during our review</t>
  </si>
  <si>
    <t>Sources_v2</t>
  </si>
  <si>
    <t>Details on the papers chosen for inclusion in our evaluation of the Aedini</t>
  </si>
  <si>
    <t>number_species_v2</t>
  </si>
  <si>
    <t>Pivot table of species numbers.</t>
  </si>
  <si>
    <t>morphoVSmol</t>
  </si>
  <si>
    <t>Congruence between morphological and molecular datasets, and final clade (A or B) attribution.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</si>
</sst>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charset val="1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8"/>
      <color rgb="FF000000"/>
      <name val="Aptos Narrow"/>
      <scheme val="minor"/>
    </font>
    <font>
      <i/>
      <sz val="8"/>
      <color rgb="FF000000"/>
      <name val="Aptos Narrow"/>
      <scheme val="minor"/>
    </font>
    <font>
      <sz val="11"/>
      <color rgb="FFC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DD0FF"/>
        <bgColor indexed="64"/>
      </patternFill>
    </fill>
    <fill>
      <patternFill patternType="solid">
        <fgColor rgb="FFD3FFF0"/>
        <bgColor indexed="64"/>
      </patternFill>
    </fill>
    <fill>
      <patternFill patternType="solid">
        <fgColor rgb="FFFAECFF"/>
        <bgColor indexed="64"/>
      </patternFill>
    </fill>
    <fill>
      <patternFill patternType="solid">
        <fgColor rgb="FFC2FCD0"/>
        <bgColor indexed="64"/>
      </patternFill>
    </fill>
    <fill>
      <patternFill patternType="solid">
        <fgColor rgb="FFFFC7C9"/>
        <bgColor indexed="64"/>
      </patternFill>
    </fill>
    <fill>
      <patternFill patternType="solid">
        <fgColor rgb="FFF9EED1"/>
        <bgColor indexed="64"/>
      </patternFill>
    </fill>
    <fill>
      <patternFill patternType="solid">
        <fgColor rgb="FFFC99BC"/>
        <bgColor indexed="64"/>
      </patternFill>
    </fill>
    <fill>
      <patternFill patternType="solid">
        <fgColor rgb="FFE8FFF5"/>
        <bgColor indexed="64"/>
      </patternFill>
    </fill>
    <fill>
      <patternFill patternType="solid">
        <fgColor rgb="FFFFB99E"/>
        <bgColor indexed="64"/>
      </patternFill>
    </fill>
    <fill>
      <patternFill patternType="solid">
        <fgColor rgb="FF96C0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93ED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14" borderId="0" xfId="0" applyFill="1"/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1" applyFont="1" applyFill="1" applyAlignment="1"/>
    <xf numFmtId="0" fontId="14" fillId="0" borderId="0" xfId="0" applyFont="1" applyAlignment="1">
      <alignment wrapText="1"/>
    </xf>
    <xf numFmtId="0" fontId="9" fillId="0" borderId="0" xfId="0" applyFont="1" applyAlignment="1">
      <alignment horizontal="left" vertical="top"/>
    </xf>
    <xf numFmtId="0" fontId="10" fillId="0" borderId="0" xfId="1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15" borderId="0" xfId="0" applyFill="1"/>
    <xf numFmtId="0" fontId="15" fillId="0" borderId="0" xfId="0" applyFont="1" applyAlignment="1">
      <alignment horizontal="left" vertical="top" wrapText="1"/>
    </xf>
    <xf numFmtId="0" fontId="0" fillId="16" borderId="0" xfId="0" applyFill="1"/>
    <xf numFmtId="0" fontId="0" fillId="17" borderId="0" xfId="0" applyFill="1"/>
    <xf numFmtId="0" fontId="16" fillId="0" borderId="0" xfId="0" applyFont="1"/>
    <xf numFmtId="0" fontId="0" fillId="18" borderId="0" xfId="0" applyFill="1"/>
    <xf numFmtId="0" fontId="0" fillId="0" borderId="2" xfId="0" applyBorder="1"/>
    <xf numFmtId="0" fontId="0" fillId="0" borderId="2" xfId="0" applyBorder="1" applyAlignment="1">
      <alignment horizontal="left"/>
    </xf>
    <xf numFmtId="0" fontId="0" fillId="19" borderId="0" xfId="0" applyFill="1"/>
    <xf numFmtId="0" fontId="17" fillId="19" borderId="0" xfId="0" applyFont="1" applyFill="1"/>
    <xf numFmtId="0" fontId="10" fillId="0" borderId="0" xfId="0" applyFont="1" applyAlignment="1">
      <alignment horizontal="left" vertical="top" wrapText="1"/>
    </xf>
    <xf numFmtId="0" fontId="10" fillId="0" borderId="0" xfId="1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93EDC9"/>
      <color rgb="FFFFC94D"/>
      <color rgb="FFDDD0FF"/>
      <color rgb="FFD0A9FF"/>
      <color rgb="FFFFB99E"/>
      <color rgb="FF96C0FF"/>
      <color rgb="FFE8FFF5"/>
      <color rgb="FFFC99BC"/>
      <color rgb="FFFF78A5"/>
      <color rgb="FFF9EE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557414699077" createdVersion="8" refreshedVersion="8" minRefreshableVersion="3" recordCount="162" xr:uid="{67F1F9F3-DAD0-490A-8DD8-CF1F53383C44}">
  <cacheSource type="worksheet">
    <worksheetSource ref="A1:D163" sheet="morphoVSmol"/>
  </cacheSource>
  <cacheFields count="4">
    <cacheField name="genus" numFmtId="0">
      <sharedItems count="10">
        <s v="Aedes"/>
        <s v="Armigeres"/>
        <s v="Eretmapodites"/>
        <s v="Haemagogus"/>
        <s v="Heizmannia"/>
        <s v="Opifex"/>
        <s v="Psorophora"/>
        <s v="Udaya"/>
        <s v="Verrallina"/>
        <s v="Zeugnomyia"/>
      </sharedItems>
    </cacheField>
    <cacheField name="subgenus" numFmtId="0">
      <sharedItems containsMixedTypes="1" containsNumber="1" containsInteger="1" minValue="0" maxValue="0" count="94">
        <s v="Abraedes"/>
        <s v="Acartomyia"/>
        <s v="Aedes"/>
        <s v="Aedimorphus"/>
        <s v="Alanstonea"/>
        <s v="Albuginosus"/>
        <s v="Ayurakitia"/>
        <s v="Aztecaedes"/>
        <s v="Belkinius"/>
        <s v="Bifidistylus"/>
        <s v="Borichinda"/>
        <s v="Bothaella"/>
        <s v="Bruceharrisonius"/>
        <s v="Cancraedes"/>
        <s v="Catageiomyia"/>
        <s v="Catatassomyia"/>
        <s v="Christophersiomyia"/>
        <s v="Coetzeemyia"/>
        <s v="Collessius"/>
        <s v="Cornetius"/>
        <s v="Dahliana"/>
        <s v="Danielsia"/>
        <s v="Dendroskusea"/>
        <s v="Diceromyia"/>
        <s v="Dobrotworskyius"/>
        <s v="Downsiomyia"/>
        <s v="Edwardsaedes"/>
        <s v="Elpeytonius"/>
        <s v="Finlaya"/>
        <s v="Fredwardsius"/>
        <s v="Georgecraigius"/>
        <s v="Geoskusea"/>
        <s v="Gilesius"/>
        <s v="Gymnometopa"/>
        <s v="Halaedes"/>
        <s v="Himalaius"/>
        <s v="Hopkinsius"/>
        <s v="Howardina"/>
        <s v="Huaedes"/>
        <s v="Hulecoeteomyia"/>
        <s v="Indusius"/>
        <s v="Isoaedes"/>
        <s v="Jarnellius"/>
        <s v="Jihlienius"/>
        <s v="Kenknightia"/>
        <s v="Kompia"/>
        <s v="Leptosomatomyia"/>
        <s v="Levua"/>
        <s v="Lewnielsenius"/>
        <s v="Lorrainea"/>
        <s v="Luius"/>
        <s v="Macleaya"/>
        <s v="Molpemyia"/>
        <s v="Mucidus"/>
        <s v="Neomelaniconion"/>
        <s v="Nyctomyia"/>
        <s v="Ochlerotatus"/>
        <s v="Paraedes"/>
        <s v="Patmarksia"/>
        <s v="Paulianius"/>
        <s v="Petermattinglyius"/>
        <s v="Phagomyia"/>
        <s v="Polyleptiomyia"/>
        <s v="Protomacleaya"/>
        <s v="Pseudalbuginosus"/>
        <s v="Pseudarmigeres"/>
        <s v="Pseudoskusea"/>
        <s v="Rampamyia"/>
        <s v="Rhinoskusea"/>
        <s v="Rusticoidus"/>
        <s v="Sallumia"/>
        <s v="Scutomyia"/>
        <s v="Skusea"/>
        <s v="Stegomyia"/>
        <s v="subgen_uncertain"/>
        <s v="Tanakaius"/>
        <s v="Tewarius"/>
        <s v="Vansomerenis"/>
        <s v="Zavortinkius"/>
        <s v="Armigeres"/>
        <s v="Leicesteria"/>
        <n v="0"/>
        <s v="Conopostegus"/>
        <s v="Haemagogus"/>
        <s v="Heizmannia"/>
        <s v="Mattinglyia"/>
        <s v="Nothoskusea"/>
        <s v="Opifex"/>
        <s v="Grabhamia"/>
        <s v="Janthinosoma"/>
        <s v="Psorophora"/>
        <s v="Harbachius"/>
        <s v="Neomacleaya"/>
        <s v="Verrallina"/>
      </sharedItems>
    </cacheField>
    <cacheField name="clade" numFmtId="0">
      <sharedItems count="5">
        <s v="A"/>
        <s v="B"/>
        <s v="NA"/>
        <s v="Neither"/>
        <s v="Psorophora"/>
      </sharedItems>
    </cacheField>
    <cacheField name="source" numFmtId="0">
      <sharedItems count="2">
        <s v="rhk2009"/>
        <s v="m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557414930554" createdVersion="8" refreshedVersion="8" minRefreshableVersion="3" recordCount="670" xr:uid="{6B8CCCA2-B5FC-40FA-8060-0E44C2B7FA45}">
  <cacheSource type="worksheet">
    <worksheetSource ref="A1:G1048576" sheet="Data_v2"/>
  </cacheSource>
  <cacheFields count="7">
    <cacheField name="Genus" numFmtId="0">
      <sharedItems containsBlank="1" count="12">
        <s v="Psorophora"/>
        <s v="Heizmannia"/>
        <s v="Armigeres"/>
        <s v="Aedes"/>
        <s v="Haemagogus"/>
        <s v="Opifex"/>
        <s v="Eretmapodites"/>
        <s v="Verrallina"/>
        <s v="Zeugnomyia"/>
        <s v="Udaya"/>
        <m/>
        <s v="Aedes " u="1"/>
      </sharedItems>
    </cacheField>
    <cacheField name="Subgenus" numFmtId="0">
      <sharedItems containsBlank="1" containsMixedTypes="1" containsNumber="1" containsInteger="1" minValue="0" maxValue="0" count="65">
        <s v="Janthinosoma"/>
        <s v="Psorophora"/>
        <s v="Mattinglyia"/>
        <s v="Armigeres"/>
        <s v="Stegomyia"/>
        <s v="Ochlerotatus"/>
        <s v="Collessius"/>
        <s v="Rampamyia"/>
        <s v="Howardina"/>
        <s v="Mucidus"/>
        <s v="Dobrotworskyius"/>
        <s v="Hulecoeteomyia"/>
        <s v="Neomelaniconion"/>
        <s v="Conopostegus"/>
        <s v="Haemagogus"/>
        <s v="Protomacleaya"/>
        <s v="Opifex"/>
        <n v="0"/>
        <s v="Rusticoidus"/>
        <s v="Dahliana"/>
        <s v="Fredwardsius"/>
        <s v="Aedimorphus"/>
        <s v="Aedes"/>
        <s v="Verrallina"/>
        <s v="Catageiomyia"/>
        <s v="Skusea"/>
        <s v="Cornetius"/>
        <s v="Diceromyia"/>
        <s v="Pseudoskusea"/>
        <s v="Halaedes"/>
        <s v="Finlaya"/>
        <s v="Gymnometopa"/>
        <s v="Georgecraigius"/>
        <s v="Patmarksia"/>
        <s v="subgen_uncertain"/>
        <s v="Macleaya"/>
        <s v="Kompia"/>
        <s v="Lewnielsenius"/>
        <s v="Jarnellius"/>
        <s v="Grabhamia"/>
        <s v="Rhinoskusea"/>
        <s v="Tanakaius"/>
        <s v="Geoskusea"/>
        <s v="Kenknightia"/>
        <s v="Phagomyia"/>
        <s v="Bruceharrisonius"/>
        <s v="Himalaius"/>
        <s v="Acartomyia"/>
        <s v="Downsiomyia"/>
        <s v="Danielsia"/>
        <s v="Luius"/>
        <s v="Paraedes"/>
        <s v="Heizmannia"/>
        <s v="Neomacleaya"/>
        <s v="Harbachius"/>
        <s v="Edwardsaedes"/>
        <s v="Polyleptiomyia"/>
        <s v="Bothaella"/>
        <s v="Nyctomyia"/>
        <s v="Borichinda"/>
        <s v="Scutomyia"/>
        <s v="Lorrainea"/>
        <s v="Petermattinglyius"/>
        <s v="Leicesteria"/>
        <m/>
      </sharedItems>
    </cacheField>
    <cacheField name="Species" numFmtId="0">
      <sharedItems containsBlank="1" count="308">
        <s v="ferox"/>
        <s v="saeva"/>
        <s v="achaetae"/>
        <s v="subalbatus"/>
        <s v="aegypti"/>
        <s v="flavopictus"/>
        <s v="albopictus"/>
        <s v="punctor"/>
        <s v="vittiger"/>
        <s v="nigrithorax"/>
        <s v="vigilax"/>
        <s v="taeniorhynchus"/>
        <s v="elsiae"/>
        <s v="hatorii"/>
        <s v="fulvus"/>
        <s v="notoscriptus"/>
        <s v="busckii"/>
        <s v="alternans"/>
        <s v="rubrithorax"/>
        <s v="alboannulatus"/>
        <s v="koreicus"/>
        <s v="lineatopennis"/>
        <s v="leucocelaenus"/>
        <s v="tropicalis"/>
        <s v="spegazzinii"/>
        <s v="janthinomys"/>
        <s v="albomaculatus"/>
        <s v="triseriatus"/>
        <s v="equinus"/>
        <s v="fuscus"/>
        <s v="quinquevittatus"/>
        <s v="sticticus"/>
        <s v="caspius"/>
        <s v="detritus"/>
        <s v="pulcritarsis"/>
        <s v="rusticus"/>
        <s v="scapularis"/>
        <s v="serratus"/>
        <s v="geniculatus"/>
        <s v="vittatus"/>
        <s v="vexans"/>
        <s v="simpsoni"/>
        <s v="intermedius"/>
        <s v="malayi"/>
        <s v="cinereus"/>
        <s v="lineata"/>
        <s v="funerea"/>
        <s v="carmenti"/>
        <s v="centropunctatus"/>
        <s v="argenteopunctatus"/>
        <s v="dalzieli"/>
        <s v="cumminsii"/>
        <s v="hirsutus"/>
        <s v="fowleri"/>
        <s v="pembaensis"/>
        <s v="cozi"/>
        <s v="taylori"/>
        <s v="furcifer"/>
        <s v="polynesiensis"/>
        <s v="riversi"/>
        <s v="mascarensis"/>
        <s v="luteocephalus"/>
        <s v="africanus"/>
        <s v="metallicus"/>
        <s v="bromeliae"/>
        <s v="provocans"/>
        <s v="bancroftianus"/>
        <s v="multiplex"/>
        <s v="australis"/>
        <s v="wardangensis"/>
        <s v="procax"/>
        <s v="flavifrons"/>
        <s v="aculeatus"/>
        <s v="kochi"/>
        <s v="mediovittatus"/>
        <s v="fluviatilis"/>
        <s v="epactius"/>
        <s v="atropalpus"/>
        <s v="mitchellae"/>
        <s v="sollicitans"/>
        <s v="nigromaculis"/>
        <s v="spencerii"/>
        <s v="fulvuspallens"/>
        <s v="dupreei"/>
        <s v="tormentor"/>
        <s v="atlanticus"/>
        <s v="infirmatus"/>
        <s v="trivittatus"/>
        <s v="thelcter"/>
        <s v="tortilis"/>
        <s v="obturbator"/>
        <s v="dorsalis"/>
        <s v="burgeri"/>
        <s v="hendersoni"/>
        <s v="brelandi"/>
        <s v="japonicus"/>
        <s v="palmarum"/>
        <s v="rupestris"/>
        <s v="subbasalis"/>
        <s v="milsoni"/>
        <s v="candidoscutellum"/>
        <s v="monocellatus"/>
        <s v="spinosipes"/>
        <s v="tremulus"/>
        <s v="quinquelineatus"/>
        <s v="purpureipes"/>
        <s v="muelleri"/>
        <s v="sierrensis"/>
        <s v="monticola"/>
        <s v="varipalpus"/>
        <s v="camptorhynchus"/>
        <s v="nivalis"/>
        <s v="silvestris"/>
        <s v="canadensis"/>
        <s v="pionips"/>
        <s v="hexodontus"/>
        <s v="nigripes"/>
        <s v="diantaeus"/>
        <s v="intrudens"/>
        <s v="niphadopsis"/>
        <s v="impiger"/>
        <s v="implicatus"/>
        <s v="increpitus"/>
        <s v="washinoi"/>
        <s v="flavescens"/>
        <s v="excrucians"/>
        <s v="fitchii"/>
        <s v="signipennis"/>
        <s v="pygmaea"/>
        <s v="discolor"/>
        <s v="jamaicensis"/>
        <s v="columbiae"/>
        <s v="toltecum"/>
        <s v="howardii"/>
        <s v="ciliata"/>
        <s v="cyanescens"/>
        <s v="albigenu"/>
        <s v="mathesoni"/>
        <s v="horrida"/>
        <s v="formosensis"/>
        <s v="tonkinensis"/>
        <s v="pseudotaeniatus"/>
        <s v="chrysolineatus"/>
        <s v="harveyi"/>
        <s v="portonovoensis"/>
        <s v="wardi"/>
        <s v="togoi"/>
        <s v="savoryi"/>
        <s v="eatoni"/>
        <s v="baisasi"/>
        <s v="dissimilis"/>
        <s v="khazani"/>
        <s v="prominens"/>
        <s v="assamensis"/>
        <s v="watasei"/>
        <s v="oreophilus"/>
        <s v="ashworthi"/>
        <s v="mallochi"/>
        <s v="greenii"/>
        <s v="aureostriatus"/>
        <s v="gilli"/>
        <s v="terrens"/>
        <s v="zoosophus"/>
        <s v="pertinax"/>
        <s v="crinifer"/>
        <s v="angustivittatus"/>
        <s v="ventrovittis"/>
        <s v="nigrinus"/>
        <s v="albifasciatus"/>
        <s v="bimaculatus"/>
        <s v="bicristatus"/>
        <s v="wattensis"/>
        <s v="macmillani"/>
        <s v="mesodentatus"/>
        <s v="fulvithorax"/>
        <s v="bahamensis"/>
        <s v="sudanensis"/>
        <s v="annulipes"/>
        <s v="cantans"/>
        <s v="stimulans"/>
        <s v="euedes"/>
        <s v="aloponotum"/>
        <s v="behningi"/>
        <s v="riparius"/>
        <s v="kasachstanicus"/>
        <s v="cyprius"/>
        <s v="squamiger"/>
        <s v="grossbecki"/>
        <s v="cataphylla"/>
        <s v="leucomelas"/>
        <s v="rempeli"/>
        <s v="abserratus"/>
        <s v="schizopinax"/>
        <s v="communis"/>
        <s v="churchillensis"/>
        <s v="tahoensis"/>
        <s v="pullatus"/>
        <s v="coluzzii"/>
        <s v="cantator"/>
        <s v="thibaulti"/>
        <s v="aurifer"/>
        <s v="zammitii"/>
        <s v="phoeniciae"/>
        <s v="mariae"/>
        <s v="campestris"/>
        <s v="melanimon"/>
        <s v="omorii"/>
        <s v="nipponicus"/>
        <s v="novoniveus"/>
        <s v="nishikawai"/>
        <s v="niveoides"/>
        <s v="albolateralis"/>
        <s v="albotaeniatus"/>
        <s v="fengi"/>
        <s v="deserticola"/>
        <s v="hungaricus"/>
        <s v="refiki"/>
        <s v="sagax"/>
        <s v="theobaldi"/>
        <s v="yamadai"/>
        <s v="rossicus"/>
        <s v="geminus"/>
        <s v="esoensis"/>
        <s v="barraudi"/>
        <s v="collessi"/>
        <s v="butleri"/>
        <s v="lugubris"/>
        <s v="indica"/>
        <s v="pseudomediofasciata"/>
        <s v="nobukonis"/>
        <s v="bekkui"/>
        <s v="nigropterus"/>
        <s v="belleci"/>
        <s v="palpalis"/>
        <s v="dentatus"/>
        <s v="circumluteolus"/>
        <s v="mcintoshi"/>
        <s v="fontenillei"/>
        <s v="sylvaticus"/>
        <s v="albiradius"/>
        <s v="ochraceus"/>
        <s v="albocephalus"/>
        <s v="pallidostriatus"/>
        <s v="mediolineatus"/>
        <s v="tarsalis"/>
        <s v="manhi"/>
        <s v="helenae"/>
        <s v="kleini"/>
        <s v="pholeocola"/>
        <s v="cavernicola"/>
        <s v="albolineatus"/>
        <s v="amesii"/>
        <s v="fumidus"/>
        <s v="iyengari"/>
        <s v="hensilli"/>
        <s v="scutellaris"/>
        <s v="dybasi"/>
        <s v="palauensis"/>
        <s v="daitensis"/>
        <s v="pseudoscutellaris"/>
        <s v="maehleri"/>
        <s v="tongae"/>
        <s v="subalbopictus"/>
        <s v="pseudalbopictus"/>
        <s v="malikuli"/>
        <s v="cretinus"/>
        <s v="galloisi"/>
        <s v="annandalei"/>
        <s v="craggi"/>
        <s v="w-albus"/>
        <s v="unilineatus"/>
        <s v="desmotes"/>
        <s v="lilii"/>
        <s v="denderensis"/>
        <s v="wadai"/>
        <s v="pia"/>
        <s v="durhami"/>
        <s v="kesseli"/>
        <s v="obturbans"/>
        <s v="flavus"/>
        <s v="gracilis"/>
        <s v="menglianensis"/>
        <s v="lii"/>
        <s v="proxima"/>
        <s v="reidi"/>
        <s v="chengi"/>
        <s v="subsimilis"/>
        <s v="discrepans"/>
        <s v="confinnis"/>
        <s v="cingulata"/>
        <s v="insularius"/>
        <s v="longipalpus"/>
        <s v="albipes"/>
        <s v="laniger"/>
        <m/>
        <s v="imblicatus" u="1"/>
        <s v="albidasciatus" u="1"/>
        <s v="macmilani" u="1"/>
        <s v="nigropterum" u="1"/>
        <s v="sylvaticum" u="1"/>
        <s v="pseudoalbopictus" u="1"/>
        <s v="insularia" u="1"/>
        <s v="africanusa" u="1"/>
        <s v="africanusb" u="1"/>
        <s v="sudanensus" u="1"/>
        <s v="palpale" u="1"/>
        <s v="argenteopunctata" u="1"/>
        <s v="leucocelaneus" u="1"/>
      </sharedItems>
    </cacheField>
    <cacheField name="Papers' Genus" numFmtId="0">
      <sharedItems containsBlank="1"/>
    </cacheField>
    <cacheField name="Paper's Species" numFmtId="0">
      <sharedItems containsBlank="1"/>
    </cacheField>
    <cacheField name="Paper's Species - Corrected" numFmtId="0">
      <sharedItems containsBlank="1"/>
    </cacheField>
    <cacheField name="Cla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x v="0"/>
    <x v="0"/>
    <x v="0"/>
  </r>
  <r>
    <x v="0"/>
    <x v="1"/>
    <x v="0"/>
    <x v="0"/>
  </r>
  <r>
    <x v="0"/>
    <x v="2"/>
    <x v="1"/>
    <x v="0"/>
  </r>
  <r>
    <x v="0"/>
    <x v="3"/>
    <x v="1"/>
    <x v="0"/>
  </r>
  <r>
    <x v="0"/>
    <x v="4"/>
    <x v="1"/>
    <x v="0"/>
  </r>
  <r>
    <x v="0"/>
    <x v="5"/>
    <x v="1"/>
    <x v="0"/>
  </r>
  <r>
    <x v="0"/>
    <x v="6"/>
    <x v="1"/>
    <x v="0"/>
  </r>
  <r>
    <x v="0"/>
    <x v="7"/>
    <x v="0"/>
    <x v="0"/>
  </r>
  <r>
    <x v="0"/>
    <x v="8"/>
    <x v="1"/>
    <x v="0"/>
  </r>
  <r>
    <x v="0"/>
    <x v="9"/>
    <x v="1"/>
    <x v="0"/>
  </r>
  <r>
    <x v="0"/>
    <x v="10"/>
    <x v="1"/>
    <x v="0"/>
  </r>
  <r>
    <x v="0"/>
    <x v="11"/>
    <x v="1"/>
    <x v="0"/>
  </r>
  <r>
    <x v="0"/>
    <x v="12"/>
    <x v="0"/>
    <x v="0"/>
  </r>
  <r>
    <x v="0"/>
    <x v="13"/>
    <x v="1"/>
    <x v="0"/>
  </r>
  <r>
    <x v="0"/>
    <x v="14"/>
    <x v="1"/>
    <x v="0"/>
  </r>
  <r>
    <x v="0"/>
    <x v="15"/>
    <x v="1"/>
    <x v="0"/>
  </r>
  <r>
    <x v="0"/>
    <x v="16"/>
    <x v="1"/>
    <x v="0"/>
  </r>
  <r>
    <x v="0"/>
    <x v="17"/>
    <x v="2"/>
    <x v="0"/>
  </r>
  <r>
    <x v="0"/>
    <x v="18"/>
    <x v="0"/>
    <x v="0"/>
  </r>
  <r>
    <x v="0"/>
    <x v="19"/>
    <x v="1"/>
    <x v="0"/>
  </r>
  <r>
    <x v="0"/>
    <x v="20"/>
    <x v="0"/>
    <x v="0"/>
  </r>
  <r>
    <x v="0"/>
    <x v="21"/>
    <x v="0"/>
    <x v="0"/>
  </r>
  <r>
    <x v="0"/>
    <x v="22"/>
    <x v="1"/>
    <x v="0"/>
  </r>
  <r>
    <x v="0"/>
    <x v="23"/>
    <x v="1"/>
    <x v="0"/>
  </r>
  <r>
    <x v="0"/>
    <x v="24"/>
    <x v="0"/>
    <x v="0"/>
  </r>
  <r>
    <x v="0"/>
    <x v="25"/>
    <x v="0"/>
    <x v="0"/>
  </r>
  <r>
    <x v="0"/>
    <x v="26"/>
    <x v="1"/>
    <x v="0"/>
  </r>
  <r>
    <x v="0"/>
    <x v="27"/>
    <x v="1"/>
    <x v="0"/>
  </r>
  <r>
    <x v="0"/>
    <x v="28"/>
    <x v="0"/>
    <x v="0"/>
  </r>
  <r>
    <x v="0"/>
    <x v="29"/>
    <x v="1"/>
    <x v="0"/>
  </r>
  <r>
    <x v="0"/>
    <x v="30"/>
    <x v="0"/>
    <x v="0"/>
  </r>
  <r>
    <x v="0"/>
    <x v="31"/>
    <x v="3"/>
    <x v="0"/>
  </r>
  <r>
    <x v="0"/>
    <x v="32"/>
    <x v="0"/>
    <x v="0"/>
  </r>
  <r>
    <x v="0"/>
    <x v="33"/>
    <x v="0"/>
    <x v="0"/>
  </r>
  <r>
    <x v="0"/>
    <x v="34"/>
    <x v="0"/>
    <x v="0"/>
  </r>
  <r>
    <x v="0"/>
    <x v="35"/>
    <x v="0"/>
    <x v="0"/>
  </r>
  <r>
    <x v="0"/>
    <x v="36"/>
    <x v="0"/>
    <x v="0"/>
  </r>
  <r>
    <x v="0"/>
    <x v="37"/>
    <x v="0"/>
    <x v="0"/>
  </r>
  <r>
    <x v="0"/>
    <x v="38"/>
    <x v="1"/>
    <x v="0"/>
  </r>
  <r>
    <x v="0"/>
    <x v="39"/>
    <x v="0"/>
    <x v="0"/>
  </r>
  <r>
    <x v="0"/>
    <x v="40"/>
    <x v="1"/>
    <x v="0"/>
  </r>
  <r>
    <x v="0"/>
    <x v="41"/>
    <x v="1"/>
    <x v="0"/>
  </r>
  <r>
    <x v="0"/>
    <x v="42"/>
    <x v="0"/>
    <x v="0"/>
  </r>
  <r>
    <x v="0"/>
    <x v="43"/>
    <x v="0"/>
    <x v="0"/>
  </r>
  <r>
    <x v="0"/>
    <x v="44"/>
    <x v="0"/>
    <x v="0"/>
  </r>
  <r>
    <x v="0"/>
    <x v="45"/>
    <x v="0"/>
    <x v="0"/>
  </r>
  <r>
    <x v="0"/>
    <x v="46"/>
    <x v="1"/>
    <x v="0"/>
  </r>
  <r>
    <x v="0"/>
    <x v="47"/>
    <x v="3"/>
    <x v="0"/>
  </r>
  <r>
    <x v="0"/>
    <x v="48"/>
    <x v="0"/>
    <x v="0"/>
  </r>
  <r>
    <x v="0"/>
    <x v="49"/>
    <x v="1"/>
    <x v="0"/>
  </r>
  <r>
    <x v="0"/>
    <x v="50"/>
    <x v="0"/>
    <x v="0"/>
  </r>
  <r>
    <x v="0"/>
    <x v="51"/>
    <x v="0"/>
    <x v="0"/>
  </r>
  <r>
    <x v="0"/>
    <x v="52"/>
    <x v="0"/>
    <x v="0"/>
  </r>
  <r>
    <x v="0"/>
    <x v="53"/>
    <x v="0"/>
    <x v="0"/>
  </r>
  <r>
    <x v="0"/>
    <x v="54"/>
    <x v="1"/>
    <x v="0"/>
  </r>
  <r>
    <x v="0"/>
    <x v="55"/>
    <x v="2"/>
    <x v="0"/>
  </r>
  <r>
    <x v="0"/>
    <x v="56"/>
    <x v="0"/>
    <x v="0"/>
  </r>
  <r>
    <x v="0"/>
    <x v="57"/>
    <x v="1"/>
    <x v="0"/>
  </r>
  <r>
    <x v="0"/>
    <x v="58"/>
    <x v="0"/>
    <x v="0"/>
  </r>
  <r>
    <x v="0"/>
    <x v="59"/>
    <x v="2"/>
    <x v="0"/>
  </r>
  <r>
    <x v="0"/>
    <x v="60"/>
    <x v="1"/>
    <x v="0"/>
  </r>
  <r>
    <x v="0"/>
    <x v="61"/>
    <x v="0"/>
    <x v="0"/>
  </r>
  <r>
    <x v="0"/>
    <x v="62"/>
    <x v="1"/>
    <x v="0"/>
  </r>
  <r>
    <x v="0"/>
    <x v="63"/>
    <x v="0"/>
    <x v="0"/>
  </r>
  <r>
    <x v="0"/>
    <x v="64"/>
    <x v="2"/>
    <x v="0"/>
  </r>
  <r>
    <x v="0"/>
    <x v="65"/>
    <x v="1"/>
    <x v="0"/>
  </r>
  <r>
    <x v="0"/>
    <x v="66"/>
    <x v="0"/>
    <x v="0"/>
  </r>
  <r>
    <x v="0"/>
    <x v="67"/>
    <x v="0"/>
    <x v="0"/>
  </r>
  <r>
    <x v="0"/>
    <x v="68"/>
    <x v="3"/>
    <x v="0"/>
  </r>
  <r>
    <x v="0"/>
    <x v="69"/>
    <x v="0"/>
    <x v="0"/>
  </r>
  <r>
    <x v="0"/>
    <x v="70"/>
    <x v="3"/>
    <x v="0"/>
  </r>
  <r>
    <x v="0"/>
    <x v="71"/>
    <x v="1"/>
    <x v="0"/>
  </r>
  <r>
    <x v="0"/>
    <x v="72"/>
    <x v="1"/>
    <x v="0"/>
  </r>
  <r>
    <x v="0"/>
    <x v="73"/>
    <x v="1"/>
    <x v="0"/>
  </r>
  <r>
    <x v="0"/>
    <x v="74"/>
    <x v="0"/>
    <x v="0"/>
  </r>
  <r>
    <x v="0"/>
    <x v="75"/>
    <x v="0"/>
    <x v="0"/>
  </r>
  <r>
    <x v="0"/>
    <x v="76"/>
    <x v="1"/>
    <x v="0"/>
  </r>
  <r>
    <x v="0"/>
    <x v="77"/>
    <x v="0"/>
    <x v="0"/>
  </r>
  <r>
    <x v="0"/>
    <x v="78"/>
    <x v="0"/>
    <x v="0"/>
  </r>
  <r>
    <x v="1"/>
    <x v="79"/>
    <x v="1"/>
    <x v="0"/>
  </r>
  <r>
    <x v="1"/>
    <x v="80"/>
    <x v="1"/>
    <x v="0"/>
  </r>
  <r>
    <x v="2"/>
    <x v="81"/>
    <x v="1"/>
    <x v="0"/>
  </r>
  <r>
    <x v="3"/>
    <x v="82"/>
    <x v="0"/>
    <x v="0"/>
  </r>
  <r>
    <x v="3"/>
    <x v="83"/>
    <x v="0"/>
    <x v="0"/>
  </r>
  <r>
    <x v="4"/>
    <x v="84"/>
    <x v="1"/>
    <x v="0"/>
  </r>
  <r>
    <x v="4"/>
    <x v="85"/>
    <x v="1"/>
    <x v="0"/>
  </r>
  <r>
    <x v="5"/>
    <x v="86"/>
    <x v="0"/>
    <x v="0"/>
  </r>
  <r>
    <x v="5"/>
    <x v="87"/>
    <x v="0"/>
    <x v="0"/>
  </r>
  <r>
    <x v="6"/>
    <x v="88"/>
    <x v="4"/>
    <x v="0"/>
  </r>
  <r>
    <x v="6"/>
    <x v="89"/>
    <x v="4"/>
    <x v="0"/>
  </r>
  <r>
    <x v="6"/>
    <x v="90"/>
    <x v="4"/>
    <x v="0"/>
  </r>
  <r>
    <x v="7"/>
    <x v="81"/>
    <x v="1"/>
    <x v="0"/>
  </r>
  <r>
    <x v="8"/>
    <x v="91"/>
    <x v="1"/>
    <x v="0"/>
  </r>
  <r>
    <x v="8"/>
    <x v="92"/>
    <x v="1"/>
    <x v="0"/>
  </r>
  <r>
    <x v="8"/>
    <x v="93"/>
    <x v="1"/>
    <x v="0"/>
  </r>
  <r>
    <x v="9"/>
    <x v="81"/>
    <x v="1"/>
    <x v="0"/>
  </r>
  <r>
    <x v="0"/>
    <x v="1"/>
    <x v="0"/>
    <x v="1"/>
  </r>
  <r>
    <x v="0"/>
    <x v="2"/>
    <x v="1"/>
    <x v="1"/>
  </r>
  <r>
    <x v="0"/>
    <x v="3"/>
    <x v="1"/>
    <x v="1"/>
  </r>
  <r>
    <x v="0"/>
    <x v="10"/>
    <x v="1"/>
    <x v="1"/>
  </r>
  <r>
    <x v="0"/>
    <x v="11"/>
    <x v="1"/>
    <x v="1"/>
  </r>
  <r>
    <x v="0"/>
    <x v="12"/>
    <x v="0"/>
    <x v="1"/>
  </r>
  <r>
    <x v="0"/>
    <x v="14"/>
    <x v="1"/>
    <x v="1"/>
  </r>
  <r>
    <x v="0"/>
    <x v="18"/>
    <x v="0"/>
    <x v="1"/>
  </r>
  <r>
    <x v="0"/>
    <x v="19"/>
    <x v="1"/>
    <x v="1"/>
  </r>
  <r>
    <x v="0"/>
    <x v="20"/>
    <x v="0"/>
    <x v="1"/>
  </r>
  <r>
    <x v="0"/>
    <x v="21"/>
    <x v="0"/>
    <x v="1"/>
  </r>
  <r>
    <x v="0"/>
    <x v="23"/>
    <x v="1"/>
    <x v="1"/>
  </r>
  <r>
    <x v="0"/>
    <x v="24"/>
    <x v="0"/>
    <x v="1"/>
  </r>
  <r>
    <x v="0"/>
    <x v="25"/>
    <x v="0"/>
    <x v="1"/>
  </r>
  <r>
    <x v="0"/>
    <x v="26"/>
    <x v="1"/>
    <x v="1"/>
  </r>
  <r>
    <x v="0"/>
    <x v="28"/>
    <x v="0"/>
    <x v="1"/>
  </r>
  <r>
    <x v="0"/>
    <x v="29"/>
    <x v="1"/>
    <x v="1"/>
  </r>
  <r>
    <x v="0"/>
    <x v="30"/>
    <x v="0"/>
    <x v="1"/>
  </r>
  <r>
    <x v="0"/>
    <x v="31"/>
    <x v="0"/>
    <x v="1"/>
  </r>
  <r>
    <x v="0"/>
    <x v="33"/>
    <x v="0"/>
    <x v="1"/>
  </r>
  <r>
    <x v="0"/>
    <x v="34"/>
    <x v="0"/>
    <x v="1"/>
  </r>
  <r>
    <x v="0"/>
    <x v="35"/>
    <x v="0"/>
    <x v="1"/>
  </r>
  <r>
    <x v="0"/>
    <x v="37"/>
    <x v="0"/>
    <x v="1"/>
  </r>
  <r>
    <x v="0"/>
    <x v="39"/>
    <x v="0"/>
    <x v="1"/>
  </r>
  <r>
    <x v="0"/>
    <x v="42"/>
    <x v="0"/>
    <x v="1"/>
  </r>
  <r>
    <x v="0"/>
    <x v="44"/>
    <x v="0"/>
    <x v="1"/>
  </r>
  <r>
    <x v="0"/>
    <x v="45"/>
    <x v="0"/>
    <x v="1"/>
  </r>
  <r>
    <x v="0"/>
    <x v="48"/>
    <x v="0"/>
    <x v="1"/>
  </r>
  <r>
    <x v="0"/>
    <x v="49"/>
    <x v="1"/>
    <x v="1"/>
  </r>
  <r>
    <x v="0"/>
    <x v="50"/>
    <x v="0"/>
    <x v="1"/>
  </r>
  <r>
    <x v="0"/>
    <x v="51"/>
    <x v="0"/>
    <x v="1"/>
  </r>
  <r>
    <x v="0"/>
    <x v="53"/>
    <x v="0"/>
    <x v="1"/>
  </r>
  <r>
    <x v="0"/>
    <x v="54"/>
    <x v="1"/>
    <x v="1"/>
  </r>
  <r>
    <x v="0"/>
    <x v="55"/>
    <x v="1"/>
    <x v="1"/>
  </r>
  <r>
    <x v="0"/>
    <x v="56"/>
    <x v="0"/>
    <x v="1"/>
  </r>
  <r>
    <x v="0"/>
    <x v="57"/>
    <x v="1"/>
    <x v="1"/>
  </r>
  <r>
    <x v="0"/>
    <x v="58"/>
    <x v="0"/>
    <x v="1"/>
  </r>
  <r>
    <x v="0"/>
    <x v="60"/>
    <x v="1"/>
    <x v="1"/>
  </r>
  <r>
    <x v="0"/>
    <x v="61"/>
    <x v="0"/>
    <x v="1"/>
  </r>
  <r>
    <x v="0"/>
    <x v="62"/>
    <x v="1"/>
    <x v="1"/>
  </r>
  <r>
    <x v="0"/>
    <x v="63"/>
    <x v="0"/>
    <x v="1"/>
  </r>
  <r>
    <x v="0"/>
    <x v="66"/>
    <x v="0"/>
    <x v="1"/>
  </r>
  <r>
    <x v="0"/>
    <x v="67"/>
    <x v="0"/>
    <x v="1"/>
  </r>
  <r>
    <x v="0"/>
    <x v="68"/>
    <x v="0"/>
    <x v="1"/>
  </r>
  <r>
    <x v="0"/>
    <x v="69"/>
    <x v="0"/>
    <x v="1"/>
  </r>
  <r>
    <x v="0"/>
    <x v="71"/>
    <x v="1"/>
    <x v="1"/>
  </r>
  <r>
    <x v="0"/>
    <x v="72"/>
    <x v="1"/>
    <x v="1"/>
  </r>
  <r>
    <x v="0"/>
    <x v="73"/>
    <x v="1"/>
    <x v="1"/>
  </r>
  <r>
    <x v="0"/>
    <x v="75"/>
    <x v="0"/>
    <x v="1"/>
  </r>
  <r>
    <x v="0"/>
    <x v="74"/>
    <x v="0"/>
    <x v="1"/>
  </r>
  <r>
    <x v="1"/>
    <x v="79"/>
    <x v="1"/>
    <x v="1"/>
  </r>
  <r>
    <x v="1"/>
    <x v="80"/>
    <x v="1"/>
    <x v="1"/>
  </r>
  <r>
    <x v="2"/>
    <x v="81"/>
    <x v="1"/>
    <x v="1"/>
  </r>
  <r>
    <x v="3"/>
    <x v="82"/>
    <x v="0"/>
    <x v="1"/>
  </r>
  <r>
    <x v="3"/>
    <x v="83"/>
    <x v="0"/>
    <x v="1"/>
  </r>
  <r>
    <x v="4"/>
    <x v="84"/>
    <x v="1"/>
    <x v="1"/>
  </r>
  <r>
    <x v="4"/>
    <x v="85"/>
    <x v="1"/>
    <x v="1"/>
  </r>
  <r>
    <x v="5"/>
    <x v="87"/>
    <x v="0"/>
    <x v="1"/>
  </r>
  <r>
    <x v="6"/>
    <x v="88"/>
    <x v="4"/>
    <x v="1"/>
  </r>
  <r>
    <x v="6"/>
    <x v="89"/>
    <x v="4"/>
    <x v="1"/>
  </r>
  <r>
    <x v="6"/>
    <x v="90"/>
    <x v="4"/>
    <x v="1"/>
  </r>
  <r>
    <x v="7"/>
    <x v="81"/>
    <x v="1"/>
    <x v="1"/>
  </r>
  <r>
    <x v="8"/>
    <x v="91"/>
    <x v="1"/>
    <x v="1"/>
  </r>
  <r>
    <x v="8"/>
    <x v="92"/>
    <x v="1"/>
    <x v="1"/>
  </r>
  <r>
    <x v="8"/>
    <x v="93"/>
    <x v="1"/>
    <x v="1"/>
  </r>
  <r>
    <x v="9"/>
    <x v="8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x v="0"/>
    <x v="0"/>
    <x v="0"/>
    <s v="Psorophora"/>
    <s v="ferox"/>
    <s v="ferox"/>
    <s v="Psorophora"/>
  </r>
  <r>
    <x v="0"/>
    <x v="1"/>
    <x v="1"/>
    <s v="Psorophora"/>
    <s v="saeva"/>
    <s v="saeva"/>
    <s v="Psorophora"/>
  </r>
  <r>
    <x v="1"/>
    <x v="2"/>
    <x v="2"/>
    <s v="Heizmannia"/>
    <s v="achaetae"/>
    <s v="achaetae"/>
    <s v="B"/>
  </r>
  <r>
    <x v="2"/>
    <x v="3"/>
    <x v="3"/>
    <s v="Armigeres"/>
    <s v="subalbatus"/>
    <s v="subalbatus"/>
    <s v="B"/>
  </r>
  <r>
    <x v="3"/>
    <x v="4"/>
    <x v="4"/>
    <s v="Aedes"/>
    <s v="aegypti"/>
    <s v="aegypti"/>
    <s v="B"/>
  </r>
  <r>
    <x v="3"/>
    <x v="4"/>
    <x v="5"/>
    <s v="Aedes"/>
    <s v="flavopictus"/>
    <s v="flavopictus"/>
    <s v="B"/>
  </r>
  <r>
    <x v="3"/>
    <x v="4"/>
    <x v="6"/>
    <s v="Aedes"/>
    <s v="albopictus"/>
    <s v="albopictus"/>
    <s v="B"/>
  </r>
  <r>
    <x v="3"/>
    <x v="5"/>
    <x v="7"/>
    <s v="Ochlerotatus"/>
    <s v="punctor"/>
    <s v="punctor"/>
    <s v="A"/>
  </r>
  <r>
    <x v="3"/>
    <x v="5"/>
    <x v="8"/>
    <s v="Ochlerotatus"/>
    <s v="vittiger"/>
    <s v="vittiger"/>
    <s v="A"/>
  </r>
  <r>
    <x v="3"/>
    <x v="5"/>
    <x v="9"/>
    <s v="Ochlerotatus"/>
    <s v="nigrithorax"/>
    <s v="nigrithorax"/>
    <s v="A"/>
  </r>
  <r>
    <x v="3"/>
    <x v="5"/>
    <x v="10"/>
    <s v="Ochlerotatus"/>
    <s v="vigilax"/>
    <s v="vigilax"/>
    <s v="A"/>
  </r>
  <r>
    <x v="3"/>
    <x v="5"/>
    <x v="11"/>
    <s v="Ochlerotatus"/>
    <s v="taeniorhynchus"/>
    <s v="taeniorhynchus"/>
    <s v="A"/>
  </r>
  <r>
    <x v="3"/>
    <x v="6"/>
    <x v="12"/>
    <s v="Collessius"/>
    <s v="elsiae"/>
    <s v="elsiae"/>
    <s v="A"/>
  </r>
  <r>
    <x v="3"/>
    <x v="6"/>
    <x v="13"/>
    <s v="Collessius"/>
    <s v="hatorii"/>
    <s v="hatorii"/>
    <s v="A"/>
  </r>
  <r>
    <x v="3"/>
    <x v="5"/>
    <x v="14"/>
    <s v="Ochlerotatus"/>
    <s v="fulvus"/>
    <s v="fulvus"/>
    <s v="A"/>
  </r>
  <r>
    <x v="3"/>
    <x v="7"/>
    <x v="15"/>
    <s v="Aedes"/>
    <s v="notoscriptus"/>
    <s v="notoscriptus"/>
    <s v="A"/>
  </r>
  <r>
    <x v="3"/>
    <x v="8"/>
    <x v="16"/>
    <s v="Aedes"/>
    <s v="busckii"/>
    <s v="busckii"/>
    <s v="A"/>
  </r>
  <r>
    <x v="3"/>
    <x v="9"/>
    <x v="17"/>
    <s v="Aedes"/>
    <s v="alternans"/>
    <s v="alternans"/>
    <s v="A"/>
  </r>
  <r>
    <x v="3"/>
    <x v="10"/>
    <x v="18"/>
    <s v="Aedes"/>
    <s v="rubrithorax"/>
    <s v="rubrithorax"/>
    <s v="A"/>
  </r>
  <r>
    <x v="3"/>
    <x v="10"/>
    <x v="19"/>
    <s v="Aedes"/>
    <s v="alboannulatus"/>
    <s v="alboannulatus"/>
    <s v="A"/>
  </r>
  <r>
    <x v="3"/>
    <x v="11"/>
    <x v="20"/>
    <s v="Aedes"/>
    <s v="koreicus"/>
    <s v="koreicus"/>
    <s v="A"/>
  </r>
  <r>
    <x v="3"/>
    <x v="12"/>
    <x v="21"/>
    <s v="Aedes"/>
    <s v="lineatopennis"/>
    <s v="lineatopennis"/>
    <s v="A"/>
  </r>
  <r>
    <x v="4"/>
    <x v="13"/>
    <x v="22"/>
    <s v="Haemagogus"/>
    <s v="leucocelaenus"/>
    <s v="leucocelaenus"/>
    <s v="A"/>
  </r>
  <r>
    <x v="4"/>
    <x v="14"/>
    <x v="23"/>
    <s v="Haemagogus"/>
    <s v="tropicalis"/>
    <s v="tropicalis"/>
    <s v="A"/>
  </r>
  <r>
    <x v="4"/>
    <x v="14"/>
    <x v="24"/>
    <s v="Haemagogus"/>
    <s v="spegazzinii"/>
    <s v="spegazzinii"/>
    <s v="A"/>
  </r>
  <r>
    <x v="4"/>
    <x v="14"/>
    <x v="25"/>
    <s v="Haemagogus"/>
    <s v="janthinomys"/>
    <s v="janthinomys"/>
    <s v="A"/>
  </r>
  <r>
    <x v="4"/>
    <x v="14"/>
    <x v="26"/>
    <s v="Haemagogus"/>
    <s v="albomaculatus"/>
    <s v="albomaculatus"/>
    <s v="A"/>
  </r>
  <r>
    <x v="3"/>
    <x v="5"/>
    <x v="10"/>
    <s v="Ochlerotatus"/>
    <s v="vigilax"/>
    <s v="vigilax"/>
    <s v="A"/>
  </r>
  <r>
    <x v="3"/>
    <x v="7"/>
    <x v="15"/>
    <s v="Aedes"/>
    <s v="notoscriptus"/>
    <s v="notoscriptus"/>
    <s v="A"/>
  </r>
  <r>
    <x v="4"/>
    <x v="14"/>
    <x v="25"/>
    <s v="Haemagogus"/>
    <s v="janthinomys"/>
    <s v="janthinomys"/>
    <s v="A"/>
  </r>
  <r>
    <x v="3"/>
    <x v="4"/>
    <x v="4"/>
    <s v="Aedes"/>
    <s v="aegypti"/>
    <s v="aegypti"/>
    <s v="B"/>
  </r>
  <r>
    <x v="3"/>
    <x v="4"/>
    <x v="6"/>
    <s v="Aedes"/>
    <s v="albopictus"/>
    <s v="albopictus"/>
    <s v="B"/>
  </r>
  <r>
    <x v="0"/>
    <x v="0"/>
    <x v="0"/>
    <s v="Psorophora"/>
    <s v="ferox"/>
    <s v="ferox"/>
    <s v="Psorophora"/>
  </r>
  <r>
    <x v="3"/>
    <x v="15"/>
    <x v="27"/>
    <s v="Ochlerotatus"/>
    <s v="triseriatus"/>
    <s v="triseriatus"/>
    <s v="A"/>
  </r>
  <r>
    <x v="4"/>
    <x v="14"/>
    <x v="28"/>
    <s v="Haemagogus"/>
    <s v="equinus"/>
    <s v="equinus"/>
    <s v="A"/>
  </r>
  <r>
    <x v="5"/>
    <x v="16"/>
    <x v="29"/>
    <s v="Opifex"/>
    <s v="fuscus"/>
    <s v="fuscus"/>
    <s v="A"/>
  </r>
  <r>
    <x v="2"/>
    <x v="3"/>
    <x v="3"/>
    <s v="Armigeres"/>
    <s v="subalbatus"/>
    <s v="subalbatus"/>
    <s v="A"/>
  </r>
  <r>
    <x v="6"/>
    <x v="17"/>
    <x v="30"/>
    <s v="Eretmapodites"/>
    <s v="quinquevittatus"/>
    <s v="quinquevittatus"/>
    <s v="B"/>
  </r>
  <r>
    <x v="3"/>
    <x v="4"/>
    <x v="4"/>
    <s v="Aedes"/>
    <s v="aegypti"/>
    <s v="aegypti"/>
    <s v="B"/>
  </r>
  <r>
    <x v="0"/>
    <x v="0"/>
    <x v="0"/>
    <s v="Psorophora"/>
    <s v="ferox"/>
    <s v="ferox"/>
    <s v="Outgroup"/>
  </r>
  <r>
    <x v="3"/>
    <x v="5"/>
    <x v="31"/>
    <s v="Ochlerotatus"/>
    <s v="sticticus"/>
    <s v="sticticus"/>
    <s v="A"/>
  </r>
  <r>
    <x v="3"/>
    <x v="5"/>
    <x v="32"/>
    <s v="Ochlerotatus"/>
    <s v="caspius"/>
    <s v="caspius"/>
    <s v="A"/>
  </r>
  <r>
    <x v="3"/>
    <x v="5"/>
    <x v="33"/>
    <s v="Ochlerotatus"/>
    <s v="detritus"/>
    <s v="detritus"/>
    <s v="A"/>
  </r>
  <r>
    <x v="3"/>
    <x v="5"/>
    <x v="34"/>
    <s v="Ochlerotatus"/>
    <s v="pulcritarsis"/>
    <s v="pulcritarsis"/>
    <s v="A"/>
  </r>
  <r>
    <x v="3"/>
    <x v="18"/>
    <x v="35"/>
    <s v="Ochlerotatus"/>
    <s v="rusticus"/>
    <s v="rusticus"/>
    <s v="A"/>
  </r>
  <r>
    <x v="3"/>
    <x v="5"/>
    <x v="36"/>
    <s v="Aedes"/>
    <s v="scapularis"/>
    <s v="scapularis"/>
    <s v="A"/>
  </r>
  <r>
    <x v="3"/>
    <x v="5"/>
    <x v="37"/>
    <s v="Aedes"/>
    <s v="serratus"/>
    <s v="serratus"/>
    <s v="A"/>
  </r>
  <r>
    <x v="3"/>
    <x v="19"/>
    <x v="38"/>
    <s v="Aedes"/>
    <s v="geniculatus"/>
    <s v="geniculatus"/>
    <s v="A"/>
  </r>
  <r>
    <x v="3"/>
    <x v="20"/>
    <x v="39"/>
    <s v="Aedes"/>
    <s v="vittatus"/>
    <s v="vittatus"/>
    <s v="B"/>
  </r>
  <r>
    <x v="3"/>
    <x v="21"/>
    <x v="40"/>
    <s v="Aedes"/>
    <s v="vexans"/>
    <s v="vexans"/>
    <s v="B"/>
  </r>
  <r>
    <x v="3"/>
    <x v="4"/>
    <x v="4"/>
    <s v="Aedes"/>
    <s v="aegypti"/>
    <s v="aegypti"/>
    <s v="B"/>
  </r>
  <r>
    <x v="3"/>
    <x v="4"/>
    <x v="41"/>
    <s v="Aedes"/>
    <s v="simpsoni"/>
    <s v="simpsoni"/>
    <s v="B"/>
  </r>
  <r>
    <x v="3"/>
    <x v="4"/>
    <x v="6"/>
    <s v="Aedes"/>
    <s v="albopictus"/>
    <s v="albopictus"/>
    <s v="B"/>
  </r>
  <r>
    <x v="6"/>
    <x v="17"/>
    <x v="42"/>
    <s v="Eretmapodites"/>
    <s v="intermedius"/>
    <s v="intermedius"/>
    <s v="B"/>
  </r>
  <r>
    <x v="3"/>
    <x v="5"/>
    <x v="37"/>
    <s v="Aedes"/>
    <s v="serratus"/>
    <s v="serratus"/>
    <s v="A"/>
  </r>
  <r>
    <x v="3"/>
    <x v="5"/>
    <x v="36"/>
    <s v="Aedes"/>
    <s v="scapularis"/>
    <s v="scapularis"/>
    <s v="A"/>
  </r>
  <r>
    <x v="6"/>
    <x v="17"/>
    <x v="42"/>
    <s v="Eretmapodites"/>
    <s v="intermedius"/>
    <s v="intermedius"/>
    <s v="B"/>
  </r>
  <r>
    <x v="3"/>
    <x v="4"/>
    <x v="6"/>
    <s v="Aedes"/>
    <s v="albopictus"/>
    <s v="albopictus"/>
    <s v="B"/>
  </r>
  <r>
    <x v="3"/>
    <x v="4"/>
    <x v="41"/>
    <s v="Aedes"/>
    <s v="simpsoni"/>
    <s v="simpsoni"/>
    <s v="B"/>
  </r>
  <r>
    <x v="3"/>
    <x v="4"/>
    <x v="4"/>
    <s v="Aedes"/>
    <s v="aegypti"/>
    <s v="aegypti"/>
    <s v="B"/>
  </r>
  <r>
    <x v="3"/>
    <x v="20"/>
    <x v="39"/>
    <s v="Aedes"/>
    <s v="vittatus"/>
    <s v="vittatus"/>
    <s v="B"/>
  </r>
  <r>
    <x v="0"/>
    <x v="0"/>
    <x v="0"/>
    <s v="Psorophora"/>
    <s v="ferox"/>
    <s v="ferox"/>
    <s v="Psorophora"/>
  </r>
  <r>
    <x v="3"/>
    <x v="20"/>
    <x v="39"/>
    <s v="Aedes"/>
    <s v="vittatus"/>
    <s v="vittatus"/>
    <s v="B"/>
  </r>
  <r>
    <x v="6"/>
    <x v="17"/>
    <x v="42"/>
    <s v="Eretmapodites"/>
    <s v="intermedius"/>
    <s v="intermedius"/>
    <s v="B"/>
  </r>
  <r>
    <x v="2"/>
    <x v="3"/>
    <x v="3"/>
    <s v="Armigeres"/>
    <s v="subalbatus"/>
    <s v="subalbatus"/>
    <s v="B"/>
  </r>
  <r>
    <x v="2"/>
    <x v="3"/>
    <x v="43"/>
    <s v="Armigeres"/>
    <s v="malayi"/>
    <s v="malayi"/>
    <s v="B"/>
  </r>
  <r>
    <x v="3"/>
    <x v="22"/>
    <x v="44"/>
    <s v="Aedes"/>
    <s v="cinereus"/>
    <s v="cinereus"/>
    <s v="B"/>
  </r>
  <r>
    <x v="7"/>
    <x v="23"/>
    <x v="45"/>
    <s v="Verrallina"/>
    <s v="lineata"/>
    <s v="lineata"/>
    <s v="B"/>
  </r>
  <r>
    <x v="7"/>
    <x v="23"/>
    <x v="46"/>
    <s v="Verrallina"/>
    <s v="funerea"/>
    <s v="funerea"/>
    <s v="B"/>
  </r>
  <r>
    <x v="7"/>
    <x v="23"/>
    <x v="47"/>
    <s v="Verrallina"/>
    <s v="carmenti"/>
    <s v="carmenti"/>
    <s v="B"/>
  </r>
  <r>
    <x v="3"/>
    <x v="21"/>
    <x v="48"/>
    <s v="Aedes"/>
    <s v="centropunctatus"/>
    <s v="centropunctatus"/>
    <s v="B"/>
  </r>
  <r>
    <x v="3"/>
    <x v="24"/>
    <x v="49"/>
    <s v="Aedes"/>
    <s v="argenteopunctatus"/>
    <s v="argenteopunctatus"/>
    <s v="B"/>
  </r>
  <r>
    <x v="3"/>
    <x v="21"/>
    <x v="50"/>
    <s v="Aedes"/>
    <s v="dalzieli"/>
    <s v="dalzieli"/>
    <s v="B"/>
  </r>
  <r>
    <x v="3"/>
    <x v="21"/>
    <x v="51"/>
    <s v="Aedes"/>
    <s v="cumminsii"/>
    <s v="cumminsii"/>
    <s v="B"/>
  </r>
  <r>
    <x v="3"/>
    <x v="21"/>
    <x v="40"/>
    <s v="Aedes"/>
    <s v="vexans"/>
    <s v="vexans"/>
    <s v="B"/>
  </r>
  <r>
    <x v="3"/>
    <x v="21"/>
    <x v="52"/>
    <s v="Aedes"/>
    <s v="hirsutus"/>
    <s v="hirsutus"/>
    <s v="B"/>
  </r>
  <r>
    <x v="3"/>
    <x v="21"/>
    <x v="53"/>
    <s v="Aedes"/>
    <s v="fowleri"/>
    <s v="fowleri"/>
    <s v="B"/>
  </r>
  <r>
    <x v="3"/>
    <x v="25"/>
    <x v="54"/>
    <s v="Aedes"/>
    <s v="pembaensis"/>
    <s v="pembaensis"/>
    <s v="B"/>
  </r>
  <r>
    <x v="3"/>
    <x v="26"/>
    <x v="55"/>
    <s v="Aedes"/>
    <s v="cozi"/>
    <s v="cozi"/>
    <s v="B"/>
  </r>
  <r>
    <x v="3"/>
    <x v="27"/>
    <x v="56"/>
    <s v="Aedes"/>
    <s v="taylori"/>
    <s v="taylori"/>
    <s v="B"/>
  </r>
  <r>
    <x v="3"/>
    <x v="27"/>
    <x v="57"/>
    <s v="Aedes"/>
    <s v="furcifer"/>
    <s v="furcifer"/>
    <s v="B"/>
  </r>
  <r>
    <x v="3"/>
    <x v="4"/>
    <x v="6"/>
    <s v="Aedes"/>
    <s v="albopictus"/>
    <s v="albopictus"/>
    <s v="B"/>
  </r>
  <r>
    <x v="3"/>
    <x v="4"/>
    <x v="58"/>
    <s v="Aedes"/>
    <s v="polynesiensis"/>
    <s v="polynesiensis"/>
    <s v="B"/>
  </r>
  <r>
    <x v="3"/>
    <x v="4"/>
    <x v="59"/>
    <s v="Aedes"/>
    <s v="riversi"/>
    <s v="riversi"/>
    <s v="B"/>
  </r>
  <r>
    <x v="3"/>
    <x v="4"/>
    <x v="4"/>
    <s v="Aedes"/>
    <s v="aegypti"/>
    <s v="aegypti"/>
    <s v="B"/>
  </r>
  <r>
    <x v="3"/>
    <x v="4"/>
    <x v="60"/>
    <s v="Aedes"/>
    <s v="mascarensis"/>
    <s v="mascarensis"/>
    <s v="B"/>
  </r>
  <r>
    <x v="3"/>
    <x v="4"/>
    <x v="61"/>
    <s v="Aedes"/>
    <s v="luteocephalus"/>
    <s v="luteocephalus"/>
    <s v="B"/>
  </r>
  <r>
    <x v="3"/>
    <x v="4"/>
    <x v="62"/>
    <s v="Aedes"/>
    <s v="africanusA"/>
    <s v="africanus"/>
    <s v="B"/>
  </r>
  <r>
    <x v="3"/>
    <x v="4"/>
    <x v="62"/>
    <s v="Aedes"/>
    <s v="africanusB"/>
    <s v="africanus"/>
    <s v="B"/>
  </r>
  <r>
    <x v="3"/>
    <x v="4"/>
    <x v="63"/>
    <s v="Aedes"/>
    <s v="metallicus"/>
    <s v="metallicus"/>
    <s v="B"/>
  </r>
  <r>
    <x v="3"/>
    <x v="4"/>
    <x v="64"/>
    <s v="Aedes"/>
    <s v="bromeliae"/>
    <s v="bromeliae"/>
    <s v="B"/>
  </r>
  <r>
    <x v="3"/>
    <x v="4"/>
    <x v="41"/>
    <s v="Aedes"/>
    <s v="simpsoni"/>
    <s v="simpsoni"/>
    <s v="B"/>
  </r>
  <r>
    <x v="3"/>
    <x v="18"/>
    <x v="65"/>
    <s v="Aedes"/>
    <s v="provocans"/>
    <s v="provocans"/>
    <s v="A"/>
  </r>
  <r>
    <x v="3"/>
    <x v="28"/>
    <x v="66"/>
    <s v="Aedes"/>
    <s v="bancroftianus"/>
    <s v="bancroftianus"/>
    <s v="A"/>
  </r>
  <r>
    <x v="3"/>
    <x v="28"/>
    <x v="67"/>
    <s v="Aedes"/>
    <s v="multiplex"/>
    <s v="multiplex"/>
    <s v="A"/>
  </r>
  <r>
    <x v="5"/>
    <x v="16"/>
    <x v="29"/>
    <s v="Opifex"/>
    <s v="fuscus"/>
    <s v="fuscus"/>
    <s v="A"/>
  </r>
  <r>
    <x v="3"/>
    <x v="29"/>
    <x v="68"/>
    <s v="Aedes"/>
    <s v="australis"/>
    <s v="australis"/>
    <s v="A"/>
  </r>
  <r>
    <x v="3"/>
    <x v="29"/>
    <x v="69"/>
    <s v="Aedes"/>
    <s v="wardangensis"/>
    <s v="wardangensis"/>
    <s v="A"/>
  </r>
  <r>
    <x v="3"/>
    <x v="5"/>
    <x v="70"/>
    <s v="Aedes"/>
    <s v="procax"/>
    <s v="procax"/>
    <s v="A"/>
  </r>
  <r>
    <x v="3"/>
    <x v="5"/>
    <x v="10"/>
    <s v="Aedes"/>
    <s v="vigilax"/>
    <s v="vigilax"/>
    <s v="A"/>
  </r>
  <r>
    <x v="3"/>
    <x v="5"/>
    <x v="71"/>
    <s v="Aedes"/>
    <s v="flavifrons"/>
    <s v="flavifrons"/>
    <s v="A"/>
  </r>
  <r>
    <x v="3"/>
    <x v="5"/>
    <x v="72"/>
    <s v="Aedes"/>
    <s v="aculeatus"/>
    <s v="aculeatus"/>
    <s v="A"/>
  </r>
  <r>
    <x v="3"/>
    <x v="5"/>
    <x v="9"/>
    <s v="Aedes"/>
    <s v="nigrithorax"/>
    <s v="nigrithorax"/>
    <s v="A"/>
  </r>
  <r>
    <x v="3"/>
    <x v="5"/>
    <x v="8"/>
    <s v="Aedes"/>
    <s v="vittiger"/>
    <s v="vittiger"/>
    <s v="A"/>
  </r>
  <r>
    <x v="3"/>
    <x v="9"/>
    <x v="17"/>
    <s v="Aedes"/>
    <s v="alternans"/>
    <s v="alternans"/>
    <s v="A"/>
  </r>
  <r>
    <x v="3"/>
    <x v="30"/>
    <x v="73"/>
    <s v="Aedes"/>
    <s v="kochi"/>
    <s v="kochi"/>
    <s v="A"/>
  </r>
  <r>
    <x v="3"/>
    <x v="31"/>
    <x v="74"/>
    <s v="Aedes"/>
    <s v="mediovittatus"/>
    <s v="mediovittatus"/>
    <s v="A"/>
  </r>
  <r>
    <x v="3"/>
    <x v="32"/>
    <x v="75"/>
    <s v="Aedes"/>
    <s v="fluviatilis"/>
    <s v="fluviatilis"/>
    <s v="A"/>
  </r>
  <r>
    <x v="3"/>
    <x v="32"/>
    <x v="76"/>
    <s v="Aedes"/>
    <s v="epactius"/>
    <s v="epactius"/>
    <s v="A"/>
  </r>
  <r>
    <x v="3"/>
    <x v="32"/>
    <x v="77"/>
    <s v="Aedes"/>
    <s v="atropalpus"/>
    <s v="atropalpus"/>
    <s v="A"/>
  </r>
  <r>
    <x v="4"/>
    <x v="14"/>
    <x v="25"/>
    <s v="Haemagogus"/>
    <s v="janthinomys"/>
    <s v="janthinomys"/>
    <s v="A"/>
  </r>
  <r>
    <x v="4"/>
    <x v="13"/>
    <x v="22"/>
    <s v="Haemagogus"/>
    <s v="leucocelaenus"/>
    <s v="leucocelaenus"/>
    <s v="A"/>
  </r>
  <r>
    <x v="3"/>
    <x v="5"/>
    <x v="11"/>
    <s v="Aedes"/>
    <s v="taeniorhynchus"/>
    <s v="taeniorhynchus"/>
    <s v="A"/>
  </r>
  <r>
    <x v="3"/>
    <x v="5"/>
    <x v="78"/>
    <s v="Aedes"/>
    <s v="mitchellae"/>
    <s v="mitchellae"/>
    <s v="A"/>
  </r>
  <r>
    <x v="3"/>
    <x v="5"/>
    <x v="79"/>
    <s v="Aedes"/>
    <s v="sollicitans"/>
    <s v="sollicitans"/>
    <s v="A"/>
  </r>
  <r>
    <x v="3"/>
    <x v="5"/>
    <x v="80"/>
    <s v="Aedes"/>
    <s v="nigromaculis"/>
    <s v="nigromaculis"/>
    <s v="A"/>
  </r>
  <r>
    <x v="3"/>
    <x v="5"/>
    <x v="81"/>
    <s v="Aedes"/>
    <s v="spencerii"/>
    <s v="spencerii"/>
    <s v="A"/>
  </r>
  <r>
    <x v="3"/>
    <x v="5"/>
    <x v="14"/>
    <s v="Aedes"/>
    <s v="fulvus"/>
    <s v="fulvus"/>
    <s v="A"/>
  </r>
  <r>
    <x v="3"/>
    <x v="5"/>
    <x v="82"/>
    <s v="Aedes"/>
    <s v="fulvuspallens"/>
    <s v="fulvuspallens"/>
    <s v="A"/>
  </r>
  <r>
    <x v="3"/>
    <x v="5"/>
    <x v="83"/>
    <s v="Aedes"/>
    <s v="dupreei"/>
    <s v="dupreei"/>
    <s v="A"/>
  </r>
  <r>
    <x v="3"/>
    <x v="5"/>
    <x v="84"/>
    <s v="Aedes"/>
    <s v="tormentor"/>
    <s v="tormentor"/>
    <s v="A"/>
  </r>
  <r>
    <x v="3"/>
    <x v="5"/>
    <x v="85"/>
    <s v="Aedes"/>
    <s v="atlanticus"/>
    <s v="atlanticus"/>
    <s v="A"/>
  </r>
  <r>
    <x v="3"/>
    <x v="5"/>
    <x v="36"/>
    <s v="Aedes"/>
    <s v="scapularis"/>
    <s v="scapularis"/>
    <s v="A"/>
  </r>
  <r>
    <x v="3"/>
    <x v="5"/>
    <x v="86"/>
    <s v="Aedes"/>
    <s v="infirmatus"/>
    <s v="infirmatus"/>
    <s v="A"/>
  </r>
  <r>
    <x v="3"/>
    <x v="5"/>
    <x v="87"/>
    <s v="Aedes"/>
    <s v="trivittatus"/>
    <s v="trivittatus"/>
    <s v="A"/>
  </r>
  <r>
    <x v="3"/>
    <x v="5"/>
    <x v="88"/>
    <s v="Aedes"/>
    <s v="thelcter"/>
    <s v="thelcter"/>
    <s v="A"/>
  </r>
  <r>
    <x v="3"/>
    <x v="5"/>
    <x v="89"/>
    <s v="Aedes"/>
    <s v="tortilis"/>
    <s v="tortilis"/>
    <s v="A"/>
  </r>
  <r>
    <x v="3"/>
    <x v="5"/>
    <x v="90"/>
    <s v="Aedes"/>
    <s v="obturbator"/>
    <s v="obturbator"/>
    <s v="A"/>
  </r>
  <r>
    <x v="3"/>
    <x v="5"/>
    <x v="32"/>
    <s v="Aedes"/>
    <s v="caspius"/>
    <s v="caspius"/>
    <s v="A"/>
  </r>
  <r>
    <x v="3"/>
    <x v="5"/>
    <x v="91"/>
    <s v="Aedes"/>
    <s v="dorsalis"/>
    <s v="dorsalis"/>
    <s v="A"/>
  </r>
  <r>
    <x v="3"/>
    <x v="15"/>
    <x v="92"/>
    <s v="Aedes"/>
    <s v="burgeri"/>
    <s v="burgeri"/>
    <s v="A"/>
  </r>
  <r>
    <x v="3"/>
    <x v="15"/>
    <x v="27"/>
    <s v="Aedes"/>
    <s v="triseriatus"/>
    <s v="triseriatus"/>
    <s v="A"/>
  </r>
  <r>
    <x v="3"/>
    <x v="15"/>
    <x v="93"/>
    <s v="Aedes"/>
    <s v="hendersoni"/>
    <s v="hendersoni"/>
    <s v="A"/>
  </r>
  <r>
    <x v="3"/>
    <x v="15"/>
    <x v="94"/>
    <s v="Aedes"/>
    <s v="brelandi"/>
    <s v="brelandi"/>
    <s v="A"/>
  </r>
  <r>
    <x v="3"/>
    <x v="11"/>
    <x v="95"/>
    <s v="Aedes"/>
    <s v="japonicus"/>
    <s v="japonicus"/>
    <s v="A"/>
  </r>
  <r>
    <x v="3"/>
    <x v="33"/>
    <x v="96"/>
    <s v="Aedes"/>
    <s v="palmarum"/>
    <s v="palmarum"/>
    <s v="A"/>
  </r>
  <r>
    <x v="3"/>
    <x v="10"/>
    <x v="97"/>
    <s v="Aedes"/>
    <s v="rupestris"/>
    <s v="rupestris"/>
    <s v="A"/>
  </r>
  <r>
    <x v="3"/>
    <x v="10"/>
    <x v="98"/>
    <s v="Aedes"/>
    <s v="subbasalis"/>
    <s v="subbasalis"/>
    <s v="A"/>
  </r>
  <r>
    <x v="3"/>
    <x v="10"/>
    <x v="19"/>
    <s v="Aedes"/>
    <s v="alboannulatus"/>
    <s v="alboannulatus"/>
    <s v="A"/>
  </r>
  <r>
    <x v="3"/>
    <x v="10"/>
    <x v="99"/>
    <s v="Aedes"/>
    <s v="milsoni"/>
    <s v="milsoni"/>
    <s v="A"/>
  </r>
  <r>
    <x v="3"/>
    <x v="10"/>
    <x v="18"/>
    <s v="Aedes"/>
    <s v="rubrithorax"/>
    <s v="rubrithorax"/>
    <s v="A"/>
  </r>
  <r>
    <x v="3"/>
    <x v="34"/>
    <x v="100"/>
    <s v="Aedes"/>
    <s v="candidoscutellum"/>
    <s v="candidoscutellum"/>
    <s v="A"/>
  </r>
  <r>
    <x v="3"/>
    <x v="34"/>
    <x v="101"/>
    <s v="Aedes"/>
    <s v="monocellatus"/>
    <s v="monocellatus"/>
    <s v="A"/>
  </r>
  <r>
    <x v="3"/>
    <x v="35"/>
    <x v="102"/>
    <s v="Aedes"/>
    <s v="spinosipes"/>
    <s v="spinosipes"/>
    <s v="A"/>
  </r>
  <r>
    <x v="3"/>
    <x v="35"/>
    <x v="103"/>
    <s v="Aedes"/>
    <s v="tremulus"/>
    <s v="tremulus"/>
    <s v="A"/>
  </r>
  <r>
    <x v="3"/>
    <x v="7"/>
    <x v="104"/>
    <s v="Aedes"/>
    <s v="quinquelineatus"/>
    <s v="quinquelineatus"/>
    <s v="A"/>
  </r>
  <r>
    <x v="3"/>
    <x v="7"/>
    <x v="15"/>
    <s v="Aedes"/>
    <s v="notoscriptus"/>
    <s v="notoscriptus"/>
    <s v="A"/>
  </r>
  <r>
    <x v="3"/>
    <x v="36"/>
    <x v="105"/>
    <s v="Aedes"/>
    <s v="purpureipes"/>
    <s v="purpureipes"/>
    <s v="A"/>
  </r>
  <r>
    <x v="3"/>
    <x v="37"/>
    <x v="106"/>
    <s v="Aedes"/>
    <s v="muelleri"/>
    <s v="muelleri"/>
    <s v="A"/>
  </r>
  <r>
    <x v="3"/>
    <x v="19"/>
    <x v="38"/>
    <s v="Aedes"/>
    <s v="geniculatus"/>
    <s v="geniculatus"/>
    <s v="A"/>
  </r>
  <r>
    <x v="3"/>
    <x v="38"/>
    <x v="107"/>
    <s v="Aedes"/>
    <s v="sierrensis"/>
    <s v="sierrensis"/>
    <s v="A"/>
  </r>
  <r>
    <x v="3"/>
    <x v="38"/>
    <x v="108"/>
    <s v="Aedes"/>
    <s v="monticola"/>
    <s v="monticola"/>
    <s v="A"/>
  </r>
  <r>
    <x v="3"/>
    <x v="38"/>
    <x v="109"/>
    <s v="Aedes"/>
    <s v="varipalpus"/>
    <s v="varipalpus"/>
    <s v="A"/>
  </r>
  <r>
    <x v="3"/>
    <x v="5"/>
    <x v="110"/>
    <s v="Aedes"/>
    <s v="camptorhynchus"/>
    <s v="camptorhynchus"/>
    <s v="A"/>
  </r>
  <r>
    <x v="3"/>
    <x v="5"/>
    <x v="111"/>
    <s v="Aedes"/>
    <s v="nivalis"/>
    <s v="nivalis"/>
    <s v="A"/>
  </r>
  <r>
    <x v="3"/>
    <x v="5"/>
    <x v="112"/>
    <s v="Aedes"/>
    <s v="silvestris"/>
    <s v="silvestris"/>
    <s v="A"/>
  </r>
  <r>
    <x v="3"/>
    <x v="5"/>
    <x v="113"/>
    <s v="Aedes"/>
    <s v="canadensis"/>
    <s v="canadensis"/>
    <s v="A"/>
  </r>
  <r>
    <x v="3"/>
    <x v="5"/>
    <x v="33"/>
    <s v="Aedes"/>
    <s v="detritus"/>
    <s v="detritus"/>
    <s v="A"/>
  </r>
  <r>
    <x v="3"/>
    <x v="5"/>
    <x v="114"/>
    <s v="Aedes"/>
    <s v="pionips"/>
    <s v="pionips"/>
    <s v="A"/>
  </r>
  <r>
    <x v="3"/>
    <x v="5"/>
    <x v="115"/>
    <s v="Aedes"/>
    <s v="hexodontus"/>
    <s v="hexodontus"/>
    <s v="A"/>
  </r>
  <r>
    <x v="3"/>
    <x v="5"/>
    <x v="116"/>
    <s v="Aedes"/>
    <s v="nigripes"/>
    <s v="nigripes"/>
    <s v="A"/>
  </r>
  <r>
    <x v="3"/>
    <x v="5"/>
    <x v="117"/>
    <s v="Aedes"/>
    <s v="diantaeus"/>
    <s v="diantaeus"/>
    <s v="A"/>
  </r>
  <r>
    <x v="3"/>
    <x v="5"/>
    <x v="118"/>
    <s v="Aedes"/>
    <s v="intrudens"/>
    <s v="intrudens"/>
    <s v="A"/>
  </r>
  <r>
    <x v="3"/>
    <x v="5"/>
    <x v="119"/>
    <s v="Aedes"/>
    <s v="niphadopsis"/>
    <s v="niphadopsis"/>
    <s v="A"/>
  </r>
  <r>
    <x v="3"/>
    <x v="5"/>
    <x v="120"/>
    <s v="Aedes"/>
    <s v="impiger"/>
    <s v="impiger"/>
    <s v="A"/>
  </r>
  <r>
    <x v="3"/>
    <x v="5"/>
    <x v="121"/>
    <s v="Aedes"/>
    <s v="implicatus"/>
    <s v="implicatus"/>
    <s v="A"/>
  </r>
  <r>
    <x v="3"/>
    <x v="5"/>
    <x v="122"/>
    <s v="Aedes"/>
    <s v="increpitus"/>
    <s v="increpitus"/>
    <s v="A"/>
  </r>
  <r>
    <x v="3"/>
    <x v="5"/>
    <x v="123"/>
    <s v="Aedes"/>
    <s v="washinoi"/>
    <s v="washinoi"/>
    <s v="A"/>
  </r>
  <r>
    <x v="3"/>
    <x v="5"/>
    <x v="124"/>
    <s v="Aedes"/>
    <s v="flavescens"/>
    <s v="flavescens"/>
    <s v="A"/>
  </r>
  <r>
    <x v="3"/>
    <x v="5"/>
    <x v="125"/>
    <s v="Aedes"/>
    <s v="excrucians"/>
    <s v="excrucians"/>
    <s v="A"/>
  </r>
  <r>
    <x v="3"/>
    <x v="5"/>
    <x v="126"/>
    <s v="Aedes"/>
    <s v="fitchii"/>
    <s v="fitchii"/>
    <s v="A"/>
  </r>
  <r>
    <x v="0"/>
    <x v="39"/>
    <x v="127"/>
    <s v="Psorophora"/>
    <s v="signipennis"/>
    <s v="signipennis"/>
    <s v="Psorophora"/>
  </r>
  <r>
    <x v="0"/>
    <x v="39"/>
    <x v="128"/>
    <s v="Psorophora"/>
    <s v="pygmaea"/>
    <s v="pygmaea"/>
    <s v="Psorophora"/>
  </r>
  <r>
    <x v="0"/>
    <x v="39"/>
    <x v="129"/>
    <s v="Psorophora"/>
    <s v="discolor"/>
    <s v="discolor"/>
    <s v="Psorophora"/>
  </r>
  <r>
    <x v="0"/>
    <x v="39"/>
    <x v="130"/>
    <s v="Psorophora"/>
    <s v="jamaicensis"/>
    <s v="jamaicensis"/>
    <s v="Psorophora"/>
  </r>
  <r>
    <x v="0"/>
    <x v="39"/>
    <x v="131"/>
    <s v="Psorophora"/>
    <s v="columbiae"/>
    <s v="columbiae"/>
    <s v="Psorophora"/>
  </r>
  <r>
    <x v="0"/>
    <x v="39"/>
    <x v="132"/>
    <s v="Psorophora"/>
    <s v="toltecum"/>
    <s v="toltecum"/>
    <s v="Psorophora"/>
  </r>
  <r>
    <x v="0"/>
    <x v="1"/>
    <x v="1"/>
    <s v="Psorophora"/>
    <s v="saeva"/>
    <s v="saeva"/>
    <s v="Psorophora"/>
  </r>
  <r>
    <x v="0"/>
    <x v="1"/>
    <x v="133"/>
    <s v="Psorophora"/>
    <s v="howardii"/>
    <s v="howardii"/>
    <s v="Psorophora"/>
  </r>
  <r>
    <x v="0"/>
    <x v="1"/>
    <x v="134"/>
    <s v="Psorophora"/>
    <s v="ciliata"/>
    <s v="ciliata"/>
    <s v="Psorophora"/>
  </r>
  <r>
    <x v="0"/>
    <x v="0"/>
    <x v="135"/>
    <s v="Psorophora"/>
    <s v="cyanescens"/>
    <s v="cyanescens"/>
    <s v="Psorophora"/>
  </r>
  <r>
    <x v="0"/>
    <x v="0"/>
    <x v="136"/>
    <s v="Psorophora"/>
    <s v="albigenu"/>
    <s v="albigenu"/>
    <s v="Psorophora"/>
  </r>
  <r>
    <x v="0"/>
    <x v="0"/>
    <x v="137"/>
    <s v="Psorophora"/>
    <s v="mathesoni"/>
    <s v="mathesoni"/>
    <s v="Psorophora"/>
  </r>
  <r>
    <x v="0"/>
    <x v="0"/>
    <x v="138"/>
    <s v="Psorophora"/>
    <s v="horrida"/>
    <s v="horrida"/>
    <s v="Psorophora"/>
  </r>
  <r>
    <x v="0"/>
    <x v="0"/>
    <x v="0"/>
    <s v="Psorophora"/>
    <s v="ferox"/>
    <s v="ferox"/>
    <s v="Psorophora"/>
  </r>
  <r>
    <x v="3"/>
    <x v="11"/>
    <x v="95"/>
    <s v="Aedes"/>
    <s v="japonicus"/>
    <s v="japonicus"/>
    <s v="A"/>
  </r>
  <r>
    <x v="3"/>
    <x v="11"/>
    <x v="20"/>
    <s v="Aedes"/>
    <s v="koreicus"/>
    <s v="koreicus"/>
    <s v="A"/>
  </r>
  <r>
    <x v="3"/>
    <x v="11"/>
    <x v="139"/>
    <s v="Aedes"/>
    <s v="formosensis"/>
    <s v="formosensis"/>
    <s v="A"/>
  </r>
  <r>
    <x v="3"/>
    <x v="6"/>
    <x v="140"/>
    <s v="Aedes"/>
    <s v="tonkinensis"/>
    <s v="tonkinensis"/>
    <s v="A"/>
  </r>
  <r>
    <x v="3"/>
    <x v="6"/>
    <x v="141"/>
    <s v="Aedes"/>
    <s v="pseudotaeniatus"/>
    <s v="pseudotaeniatus"/>
    <s v="A"/>
  </r>
  <r>
    <x v="3"/>
    <x v="11"/>
    <x v="142"/>
    <s v="Aedes"/>
    <s v="chrysolineatus"/>
    <s v="chrysolineatus"/>
    <s v="A"/>
  </r>
  <r>
    <x v="3"/>
    <x v="11"/>
    <x v="143"/>
    <s v="Aedes"/>
    <s v="harveyi"/>
    <s v="harveyi"/>
    <s v="A"/>
  </r>
  <r>
    <x v="3"/>
    <x v="40"/>
    <x v="144"/>
    <s v="Aedes"/>
    <s v="portonovoensis"/>
    <s v="portonovoensis"/>
    <s v="A"/>
  </r>
  <r>
    <x v="3"/>
    <x v="40"/>
    <x v="145"/>
    <s v="Aedes"/>
    <s v="wardi"/>
    <s v="wardi"/>
    <s v="A"/>
  </r>
  <r>
    <x v="3"/>
    <x v="6"/>
    <x v="13"/>
    <s v="Aedes"/>
    <s v="hatorii"/>
    <s v="hatorii"/>
    <s v="A"/>
  </r>
  <r>
    <x v="3"/>
    <x v="6"/>
    <x v="12"/>
    <s v="Aedes"/>
    <s v="elsiae"/>
    <s v="elsiae"/>
    <s v="A"/>
  </r>
  <r>
    <x v="3"/>
    <x v="41"/>
    <x v="146"/>
    <s v="Aedes"/>
    <s v="togoi"/>
    <s v="togoi"/>
    <s v="A"/>
  </r>
  <r>
    <x v="3"/>
    <x v="41"/>
    <x v="147"/>
    <s v="Aedes"/>
    <s v="savoryi"/>
    <s v="savoryi"/>
    <s v="A"/>
  </r>
  <r>
    <x v="3"/>
    <x v="32"/>
    <x v="76"/>
    <s v="Aedes"/>
    <s v="epactius"/>
    <s v="epactius"/>
    <s v="A"/>
  </r>
  <r>
    <x v="3"/>
    <x v="32"/>
    <x v="77"/>
    <s v="Aedes"/>
    <s v="atropalpus"/>
    <s v="atropalpus"/>
    <s v="A"/>
  </r>
  <r>
    <x v="3"/>
    <x v="32"/>
    <x v="75"/>
    <s v="Aedes"/>
    <s v="fluviatilis"/>
    <s v="fluviatilis"/>
    <s v="A"/>
  </r>
  <r>
    <x v="3"/>
    <x v="31"/>
    <x v="74"/>
    <s v="Aedes"/>
    <s v="mediovittatus"/>
    <s v="mediovittatus"/>
    <s v="A"/>
  </r>
  <r>
    <x v="3"/>
    <x v="34"/>
    <x v="148"/>
    <s v="Aedes"/>
    <s v="eatoni"/>
    <s v="eatoni"/>
    <s v="A"/>
  </r>
  <r>
    <x v="3"/>
    <x v="42"/>
    <x v="149"/>
    <s v="Aedes"/>
    <s v="baisasi"/>
    <s v="baisasi"/>
    <s v="A"/>
  </r>
  <r>
    <x v="3"/>
    <x v="43"/>
    <x v="150"/>
    <s v="Aedes"/>
    <s v="dissimilis"/>
    <s v="dissimilis"/>
    <s v="A"/>
  </r>
  <r>
    <x v="3"/>
    <x v="44"/>
    <x v="151"/>
    <s v="Aedes"/>
    <s v="khazani"/>
    <s v="khazani"/>
    <s v="A"/>
  </r>
  <r>
    <x v="3"/>
    <x v="44"/>
    <x v="152"/>
    <s v="Aedes"/>
    <s v="prominens"/>
    <s v="prominens"/>
    <s v="A"/>
  </r>
  <r>
    <x v="3"/>
    <x v="44"/>
    <x v="153"/>
    <s v="Aedes"/>
    <s v="assamensis"/>
    <s v="assamensis"/>
    <s v="A"/>
  </r>
  <r>
    <x v="3"/>
    <x v="44"/>
    <x v="154"/>
    <s v="Aedes"/>
    <s v="watasei"/>
    <s v="watasei"/>
    <s v="A"/>
  </r>
  <r>
    <x v="3"/>
    <x v="34"/>
    <x v="155"/>
    <s v="Aedes"/>
    <s v="oreophilus"/>
    <s v="oreophilus"/>
    <s v="A"/>
  </r>
  <r>
    <x v="3"/>
    <x v="29"/>
    <x v="69"/>
    <s v="Aedes"/>
    <s v="wardangensis"/>
    <s v="wardangensis"/>
    <s v="A"/>
  </r>
  <r>
    <x v="3"/>
    <x v="29"/>
    <x v="68"/>
    <s v="Aedes"/>
    <s v="australis"/>
    <s v="australis"/>
    <s v="A"/>
  </r>
  <r>
    <x v="3"/>
    <x v="29"/>
    <x v="156"/>
    <s v="Aedes"/>
    <s v="ashworthi"/>
    <s v="ashworthi"/>
    <s v="A"/>
  </r>
  <r>
    <x v="3"/>
    <x v="34"/>
    <x v="157"/>
    <s v="Aedes"/>
    <s v="mallochi"/>
    <s v="mallochi"/>
    <s v="A"/>
  </r>
  <r>
    <x v="3"/>
    <x v="45"/>
    <x v="158"/>
    <s v="Aedes"/>
    <s v="greenii"/>
    <s v="greenii"/>
    <s v="A"/>
  </r>
  <r>
    <x v="3"/>
    <x v="45"/>
    <x v="159"/>
    <s v="Aedes"/>
    <s v="aureostriatus"/>
    <s v="aureostriatus"/>
    <s v="A"/>
  </r>
  <r>
    <x v="3"/>
    <x v="46"/>
    <x v="160"/>
    <s v="Aedes"/>
    <s v="gilli"/>
    <s v="gilli"/>
    <s v="A"/>
  </r>
  <r>
    <x v="3"/>
    <x v="10"/>
    <x v="19"/>
    <s v="Aedes"/>
    <s v="alboannulatus"/>
    <s v="alboannulatus"/>
    <s v="A"/>
  </r>
  <r>
    <x v="3"/>
    <x v="10"/>
    <x v="18"/>
    <s v="Aedes"/>
    <s v="rubrithorax"/>
    <s v="rubrithorax"/>
    <s v="A"/>
  </r>
  <r>
    <x v="3"/>
    <x v="7"/>
    <x v="15"/>
    <s v="Aedes"/>
    <s v="notoscriptus"/>
    <s v="notoscriptus"/>
    <s v="A"/>
  </r>
  <r>
    <x v="3"/>
    <x v="15"/>
    <x v="161"/>
    <s v="Aedes"/>
    <s v="terrens"/>
    <s v="terrens"/>
    <s v="A"/>
  </r>
  <r>
    <x v="3"/>
    <x v="19"/>
    <x v="38"/>
    <s v="Aedes"/>
    <s v="geniculatus"/>
    <s v="geniculatus"/>
    <s v="A"/>
  </r>
  <r>
    <x v="3"/>
    <x v="15"/>
    <x v="27"/>
    <s v="Aedes"/>
    <s v="triseriatus"/>
    <s v="triseriatus"/>
    <s v="A"/>
  </r>
  <r>
    <x v="3"/>
    <x v="15"/>
    <x v="162"/>
    <s v="Aedes"/>
    <s v="zoosophus"/>
    <s v="zoosophus"/>
    <s v="A"/>
  </r>
  <r>
    <x v="3"/>
    <x v="15"/>
    <x v="94"/>
    <s v="Aedes"/>
    <s v="brelandi"/>
    <s v="brelandi"/>
    <s v="A"/>
  </r>
  <r>
    <x v="3"/>
    <x v="15"/>
    <x v="93"/>
    <s v="Aedes"/>
    <s v="hendersoni"/>
    <s v="hendersoni"/>
    <s v="A"/>
  </r>
  <r>
    <x v="3"/>
    <x v="15"/>
    <x v="92"/>
    <s v="Aedes"/>
    <s v="burgeri"/>
    <s v="burgeri"/>
    <s v="A"/>
  </r>
  <r>
    <x v="3"/>
    <x v="5"/>
    <x v="163"/>
    <s v="Aedes"/>
    <s v="pertinax"/>
    <s v="pertinax"/>
    <s v="A"/>
  </r>
  <r>
    <x v="3"/>
    <x v="5"/>
    <x v="84"/>
    <s v="Aedes"/>
    <s v="tormentor"/>
    <s v="tormentor"/>
    <s v="A"/>
  </r>
  <r>
    <x v="3"/>
    <x v="5"/>
    <x v="85"/>
    <s v="Aedes"/>
    <s v="atlanticus"/>
    <s v="atlanticus"/>
    <s v="A"/>
  </r>
  <r>
    <x v="3"/>
    <x v="5"/>
    <x v="83"/>
    <s v="Aedes"/>
    <s v="dupreei"/>
    <s v="dupreei"/>
    <s v="A"/>
  </r>
  <r>
    <x v="3"/>
    <x v="5"/>
    <x v="164"/>
    <s v="Aedes"/>
    <s v="crinifer"/>
    <s v="crinifer"/>
    <s v="A"/>
  </r>
  <r>
    <x v="3"/>
    <x v="5"/>
    <x v="86"/>
    <s v="Aedes"/>
    <s v="infirmatus"/>
    <s v="infirmatus"/>
    <s v="A"/>
  </r>
  <r>
    <x v="3"/>
    <x v="5"/>
    <x v="87"/>
    <s v="Aedes"/>
    <s v="trivittatus"/>
    <s v="trivittatus"/>
    <s v="A"/>
  </r>
  <r>
    <x v="3"/>
    <x v="5"/>
    <x v="165"/>
    <s v="Aedes"/>
    <s v="angustivittatus"/>
    <s v="angustivittatus"/>
    <s v="A"/>
  </r>
  <r>
    <x v="3"/>
    <x v="5"/>
    <x v="36"/>
    <s v="Aedes"/>
    <s v="scapularis"/>
    <s v="scapularis"/>
    <s v="A"/>
  </r>
  <r>
    <x v="3"/>
    <x v="5"/>
    <x v="166"/>
    <s v="Aedes"/>
    <s v="ventrovittis"/>
    <s v="ventrovittis"/>
    <s v="A"/>
  </r>
  <r>
    <x v="3"/>
    <x v="5"/>
    <x v="31"/>
    <s v="Aedes"/>
    <s v="sticticus"/>
    <s v="sticticus"/>
    <s v="A"/>
  </r>
  <r>
    <x v="3"/>
    <x v="5"/>
    <x v="81"/>
    <s v="Aedes"/>
    <s v="spencerii"/>
    <s v="spencerii"/>
    <s v="A"/>
  </r>
  <r>
    <x v="3"/>
    <x v="5"/>
    <x v="167"/>
    <s v="Aedes"/>
    <s v="nigrinus"/>
    <s v="nigrinus"/>
    <s v="A"/>
  </r>
  <r>
    <x v="3"/>
    <x v="5"/>
    <x v="168"/>
    <s v="Aedes"/>
    <s v="albifasciatus"/>
    <s v="albifasciatus"/>
    <s v="A"/>
  </r>
  <r>
    <x v="3"/>
    <x v="5"/>
    <x v="169"/>
    <s v="Aedes"/>
    <s v="bimaculatus"/>
    <s v="bimaculatus"/>
    <s v="A"/>
  </r>
  <r>
    <x v="3"/>
    <x v="18"/>
    <x v="170"/>
    <s v="Aedes"/>
    <s v="bicristatus"/>
    <s v="bicristatus"/>
    <s v="A"/>
  </r>
  <r>
    <x v="3"/>
    <x v="5"/>
    <x v="82"/>
    <s v="Aedes"/>
    <s v="fulvuspallens"/>
    <s v="fulvuspallens"/>
    <s v="A"/>
  </r>
  <r>
    <x v="3"/>
    <x v="35"/>
    <x v="171"/>
    <s v="Aedes"/>
    <s v="wattensis"/>
    <s v="wattensis"/>
    <s v="A"/>
  </r>
  <r>
    <x v="3"/>
    <x v="35"/>
    <x v="172"/>
    <s v="Aedes"/>
    <s v="macmillani"/>
    <s v="macmillani"/>
    <s v="A"/>
  </r>
  <r>
    <x v="3"/>
    <x v="35"/>
    <x v="103"/>
    <s v="Aedes"/>
    <s v="tremulus"/>
    <s v="tremulus"/>
    <s v="A"/>
  </r>
  <r>
    <x v="4"/>
    <x v="14"/>
    <x v="173"/>
    <s v="Haemagogus"/>
    <s v="mesodentatus"/>
    <s v="mesodentatus"/>
    <s v="A"/>
  </r>
  <r>
    <x v="4"/>
    <x v="13"/>
    <x v="22"/>
    <s v="Haemagogus"/>
    <s v="leucocelaenus"/>
    <s v="leucocelaenus"/>
    <s v="A"/>
  </r>
  <r>
    <x v="4"/>
    <x v="14"/>
    <x v="25"/>
    <s v="Haemagogus"/>
    <s v="janthinomys"/>
    <s v="janthinomys"/>
    <s v="A"/>
  </r>
  <r>
    <x v="4"/>
    <x v="14"/>
    <x v="28"/>
    <s v="Haemagogus"/>
    <s v="equinus"/>
    <s v="equinus"/>
    <s v="A"/>
  </r>
  <r>
    <x v="3"/>
    <x v="8"/>
    <x v="174"/>
    <s v="Aedes"/>
    <s v="fulvithorax"/>
    <s v="fulvithorax"/>
    <s v="A"/>
  </r>
  <r>
    <x v="3"/>
    <x v="8"/>
    <x v="175"/>
    <s v="Aedes"/>
    <s v="bahamensis"/>
    <s v="bahamensis"/>
    <s v="A"/>
  </r>
  <r>
    <x v="3"/>
    <x v="5"/>
    <x v="79"/>
    <s v="Aedes"/>
    <s v="sollicitans"/>
    <s v="sollicitans"/>
    <s v="A"/>
  </r>
  <r>
    <x v="3"/>
    <x v="5"/>
    <x v="80"/>
    <s v="Aedes"/>
    <s v="nigromaculis"/>
    <s v="nigromaculis"/>
    <s v="A"/>
  </r>
  <r>
    <x v="3"/>
    <x v="5"/>
    <x v="78"/>
    <s v="Aedes"/>
    <s v="mitchellae"/>
    <s v="mitchellae"/>
    <s v="A"/>
  </r>
  <r>
    <x v="3"/>
    <x v="5"/>
    <x v="11"/>
    <s v="Aedes"/>
    <s v="taeniorhynchus"/>
    <s v="taeniorhynchus"/>
    <s v="A"/>
  </r>
  <r>
    <x v="3"/>
    <x v="9"/>
    <x v="176"/>
    <s v="Aedes"/>
    <s v="sudanensis"/>
    <s v="sudanensis"/>
    <s v="A"/>
  </r>
  <r>
    <x v="3"/>
    <x v="9"/>
    <x v="17"/>
    <s v="Aedes"/>
    <s v="alternans"/>
    <s v="alternans"/>
    <s v="A"/>
  </r>
  <r>
    <x v="3"/>
    <x v="5"/>
    <x v="177"/>
    <s v="Aedes"/>
    <s v="annulipes"/>
    <s v="annulipes"/>
    <s v="A"/>
  </r>
  <r>
    <x v="3"/>
    <x v="5"/>
    <x v="178"/>
    <s v="Aedes"/>
    <s v="cantans"/>
    <s v="cantans"/>
    <s v="A"/>
  </r>
  <r>
    <x v="3"/>
    <x v="5"/>
    <x v="179"/>
    <s v="Aedes"/>
    <s v="stimulans"/>
    <s v="stimulans"/>
    <s v="A"/>
  </r>
  <r>
    <x v="3"/>
    <x v="5"/>
    <x v="125"/>
    <s v="Aedes"/>
    <s v="excrucians"/>
    <s v="excrucians"/>
    <s v="A"/>
  </r>
  <r>
    <x v="3"/>
    <x v="5"/>
    <x v="180"/>
    <s v="Aedes"/>
    <s v="euedes"/>
    <s v="euedes"/>
    <s v="A"/>
  </r>
  <r>
    <x v="3"/>
    <x v="5"/>
    <x v="181"/>
    <s v="Aedes"/>
    <s v="aloponotum"/>
    <s v="aloponotum"/>
    <s v="A"/>
  </r>
  <r>
    <x v="3"/>
    <x v="5"/>
    <x v="124"/>
    <s v="Aedes"/>
    <s v="flavescens"/>
    <s v="flavescens"/>
    <s v="A"/>
  </r>
  <r>
    <x v="3"/>
    <x v="5"/>
    <x v="182"/>
    <s v="Aedes"/>
    <s v="behningi"/>
    <s v="behningi"/>
    <s v="A"/>
  </r>
  <r>
    <x v="3"/>
    <x v="5"/>
    <x v="183"/>
    <s v="Aedes"/>
    <s v="riparius"/>
    <s v="riparius"/>
    <s v="A"/>
  </r>
  <r>
    <x v="3"/>
    <x v="5"/>
    <x v="184"/>
    <s v="Aedes"/>
    <s v="kasachstanicus"/>
    <s v="kasachstanicus"/>
    <s v="A"/>
  </r>
  <r>
    <x v="3"/>
    <x v="5"/>
    <x v="122"/>
    <s v="Aedes"/>
    <s v="increpitus"/>
    <s v="increpitus"/>
    <s v="A"/>
  </r>
  <r>
    <x v="3"/>
    <x v="5"/>
    <x v="185"/>
    <s v="Aedes"/>
    <s v="cyprius"/>
    <s v="cyprius"/>
    <s v="A"/>
  </r>
  <r>
    <x v="3"/>
    <x v="5"/>
    <x v="186"/>
    <s v="Aedes"/>
    <s v="squamiger"/>
    <s v="squamiger"/>
    <s v="A"/>
  </r>
  <r>
    <x v="3"/>
    <x v="5"/>
    <x v="187"/>
    <s v="Aedes"/>
    <s v="grossbecki"/>
    <s v="grossbecki"/>
    <s v="A"/>
  </r>
  <r>
    <x v="3"/>
    <x v="5"/>
    <x v="126"/>
    <s v="Aedes"/>
    <s v="fitchii"/>
    <s v="fitchii"/>
    <s v="A"/>
  </r>
  <r>
    <x v="3"/>
    <x v="5"/>
    <x v="188"/>
    <s v="Aedes"/>
    <s v="cataphylla"/>
    <s v="cataphylla"/>
    <s v="A"/>
  </r>
  <r>
    <x v="3"/>
    <x v="5"/>
    <x v="189"/>
    <s v="Aedes"/>
    <s v="leucomelas"/>
    <s v="leucomelas"/>
    <s v="A"/>
  </r>
  <r>
    <x v="3"/>
    <x v="5"/>
    <x v="120"/>
    <s v="Aedes"/>
    <s v="impiger"/>
    <s v="impiger"/>
    <s v="A"/>
  </r>
  <r>
    <x v="3"/>
    <x v="5"/>
    <x v="116"/>
    <s v="Aedes"/>
    <s v="nigripes"/>
    <s v="nigripes"/>
    <s v="A"/>
  </r>
  <r>
    <x v="3"/>
    <x v="5"/>
    <x v="190"/>
    <s v="Aedes"/>
    <s v="rempeli"/>
    <s v="rempeli"/>
    <s v="A"/>
  </r>
  <r>
    <x v="3"/>
    <x v="5"/>
    <x v="7"/>
    <s v="Aedes"/>
    <s v="punctor"/>
    <s v="punctor"/>
    <s v="A"/>
  </r>
  <r>
    <x v="3"/>
    <x v="5"/>
    <x v="115"/>
    <s v="Aedes"/>
    <s v="hexodontus"/>
    <s v="hexodontus"/>
    <s v="A"/>
  </r>
  <r>
    <x v="3"/>
    <x v="5"/>
    <x v="191"/>
    <s v="Aedes"/>
    <s v="abserratus"/>
    <s v="abserratus"/>
    <s v="A"/>
  </r>
  <r>
    <x v="3"/>
    <x v="5"/>
    <x v="121"/>
    <s v="Aedes"/>
    <s v="implicatus"/>
    <s v="implicatus"/>
    <s v="A"/>
  </r>
  <r>
    <x v="3"/>
    <x v="5"/>
    <x v="192"/>
    <s v="Aedes"/>
    <s v="schizopinax"/>
    <s v="schizopinax"/>
    <s v="A"/>
  </r>
  <r>
    <x v="3"/>
    <x v="5"/>
    <x v="193"/>
    <s v="Aedes"/>
    <s v="communis"/>
    <s v="communis"/>
    <s v="A"/>
  </r>
  <r>
    <x v="3"/>
    <x v="5"/>
    <x v="114"/>
    <s v="Aedes"/>
    <s v="pionips"/>
    <s v="pionips"/>
    <s v="A"/>
  </r>
  <r>
    <x v="3"/>
    <x v="5"/>
    <x v="194"/>
    <s v="Aedes"/>
    <s v="churchillensis"/>
    <s v="churchillensis"/>
    <s v="A"/>
  </r>
  <r>
    <x v="3"/>
    <x v="5"/>
    <x v="195"/>
    <s v="Aedes"/>
    <s v="tahoensis"/>
    <s v="tahoensis"/>
    <s v="A"/>
  </r>
  <r>
    <x v="3"/>
    <x v="5"/>
    <x v="196"/>
    <s v="Aedes"/>
    <s v="pullatus"/>
    <s v="pullatus"/>
    <s v="A"/>
  </r>
  <r>
    <x v="3"/>
    <x v="5"/>
    <x v="33"/>
    <s v="Aedes"/>
    <s v="detritus"/>
    <s v="detritus"/>
    <s v="A"/>
  </r>
  <r>
    <x v="3"/>
    <x v="5"/>
    <x v="197"/>
    <s v="Aedes"/>
    <s v="coluzzii"/>
    <s v="coluzzii"/>
    <s v="A"/>
  </r>
  <r>
    <x v="3"/>
    <x v="5"/>
    <x v="198"/>
    <s v="Aedes"/>
    <s v="cantator"/>
    <s v="cantator"/>
    <s v="A"/>
  </r>
  <r>
    <x v="3"/>
    <x v="5"/>
    <x v="117"/>
    <s v="Aedes"/>
    <s v="diantaeus"/>
    <s v="diantaeus"/>
    <s v="A"/>
  </r>
  <r>
    <x v="3"/>
    <x v="5"/>
    <x v="118"/>
    <s v="Aedes"/>
    <s v="intrudens"/>
    <s v="intrudens"/>
    <s v="A"/>
  </r>
  <r>
    <x v="3"/>
    <x v="5"/>
    <x v="199"/>
    <s v="Aedes"/>
    <s v="thibaulti"/>
    <s v="thibaulti"/>
    <s v="A"/>
  </r>
  <r>
    <x v="3"/>
    <x v="5"/>
    <x v="200"/>
    <s v="Aedes"/>
    <s v="aurifer"/>
    <s v="aurifer"/>
    <s v="A"/>
  </r>
  <r>
    <x v="3"/>
    <x v="37"/>
    <x v="106"/>
    <s v="Aedes"/>
    <s v="muelleri"/>
    <s v="muelleri"/>
    <s v="A"/>
  </r>
  <r>
    <x v="3"/>
    <x v="36"/>
    <x v="105"/>
    <s v="Aedes"/>
    <s v="purpureipes"/>
    <s v="purpureipes"/>
    <s v="A"/>
  </r>
  <r>
    <x v="3"/>
    <x v="5"/>
    <x v="113"/>
    <s v="Aedes"/>
    <s v="canadensis"/>
    <s v="canadensis"/>
    <s v="A"/>
  </r>
  <r>
    <x v="3"/>
    <x v="47"/>
    <x v="201"/>
    <s v="Aedes"/>
    <s v="zammitii"/>
    <s v="zammitii"/>
    <s v="A"/>
  </r>
  <r>
    <x v="3"/>
    <x v="47"/>
    <x v="202"/>
    <s v="Aedes"/>
    <s v="phoeniciae"/>
    <s v="phoeniciae"/>
    <s v="A"/>
  </r>
  <r>
    <x v="3"/>
    <x v="47"/>
    <x v="203"/>
    <s v="Aedes"/>
    <s v="mariae"/>
    <s v="mariae"/>
    <s v="A"/>
  </r>
  <r>
    <x v="3"/>
    <x v="5"/>
    <x v="119"/>
    <s v="Aedes"/>
    <s v="niphadopsis"/>
    <s v="niphadopsis"/>
    <s v="A"/>
  </r>
  <r>
    <x v="3"/>
    <x v="5"/>
    <x v="204"/>
    <s v="Aedes"/>
    <s v="campestris"/>
    <s v="campestris"/>
    <s v="A"/>
  </r>
  <r>
    <x v="3"/>
    <x v="5"/>
    <x v="32"/>
    <s v="Aedes"/>
    <s v="caspius"/>
    <s v="caspius"/>
    <s v="A"/>
  </r>
  <r>
    <x v="3"/>
    <x v="5"/>
    <x v="205"/>
    <s v="Aedes"/>
    <s v="melanimon"/>
    <s v="melanimon"/>
    <s v="A"/>
  </r>
  <r>
    <x v="3"/>
    <x v="5"/>
    <x v="91"/>
    <s v="Aedes"/>
    <s v="dorsalis"/>
    <s v="dorsalis"/>
    <s v="A"/>
  </r>
  <r>
    <x v="3"/>
    <x v="5"/>
    <x v="89"/>
    <s v="Aedes"/>
    <s v="tortilis"/>
    <s v="tortilis"/>
    <s v="A"/>
  </r>
  <r>
    <x v="3"/>
    <x v="5"/>
    <x v="90"/>
    <s v="Aedes"/>
    <s v="obturbator"/>
    <s v="obturbator"/>
    <s v="A"/>
  </r>
  <r>
    <x v="3"/>
    <x v="5"/>
    <x v="88"/>
    <s v="Aedes"/>
    <s v="thelcter"/>
    <s v="thelcter"/>
    <s v="A"/>
  </r>
  <r>
    <x v="3"/>
    <x v="48"/>
    <x v="206"/>
    <s v="Aedes"/>
    <s v="omorii"/>
    <s v="omorii"/>
    <s v="A"/>
  </r>
  <r>
    <x v="3"/>
    <x v="48"/>
    <x v="207"/>
    <s v="Aedes"/>
    <s v="nipponicus"/>
    <s v="nipponicus"/>
    <s v="A"/>
  </r>
  <r>
    <x v="3"/>
    <x v="48"/>
    <x v="208"/>
    <s v="Aedes"/>
    <s v="novoniveus"/>
    <s v="novoniveus"/>
    <s v="A"/>
  </r>
  <r>
    <x v="3"/>
    <x v="48"/>
    <x v="209"/>
    <s v="Aedes"/>
    <s v="nishikawai"/>
    <s v="nishikawai"/>
    <s v="A"/>
  </r>
  <r>
    <x v="3"/>
    <x v="48"/>
    <x v="210"/>
    <s v="Aedes"/>
    <s v="niveoides"/>
    <s v="niveoides"/>
    <s v="A"/>
  </r>
  <r>
    <x v="3"/>
    <x v="48"/>
    <x v="211"/>
    <s v="Aedes"/>
    <s v="albolateralis"/>
    <s v="albolateralis"/>
    <s v="A"/>
  </r>
  <r>
    <x v="3"/>
    <x v="49"/>
    <x v="212"/>
    <s v="Aedes"/>
    <s v="albotaeniatus"/>
    <s v="albotaeniatus"/>
    <s v="A"/>
  </r>
  <r>
    <x v="3"/>
    <x v="50"/>
    <x v="213"/>
    <s v="Aedes"/>
    <s v="fengi"/>
    <s v="fengi"/>
    <s v="A"/>
  </r>
  <r>
    <x v="3"/>
    <x v="38"/>
    <x v="214"/>
    <s v="Aedes"/>
    <s v="deserticola"/>
    <s v="deserticola"/>
    <s v="A"/>
  </r>
  <r>
    <x v="3"/>
    <x v="38"/>
    <x v="108"/>
    <s v="Aedes"/>
    <s v="monticola"/>
    <s v="monticola"/>
    <s v="A"/>
  </r>
  <r>
    <x v="3"/>
    <x v="38"/>
    <x v="109"/>
    <s v="Aedes"/>
    <s v="varipalpus"/>
    <s v="varipalpus"/>
    <s v="A"/>
  </r>
  <r>
    <x v="3"/>
    <x v="38"/>
    <x v="107"/>
    <s v="Aedes"/>
    <s v="sierrensis"/>
    <s v="sierrensis"/>
    <s v="A"/>
  </r>
  <r>
    <x v="3"/>
    <x v="5"/>
    <x v="110"/>
    <s v="Aedes"/>
    <s v="camptorhynchus"/>
    <s v="camptorhynchus"/>
    <s v="A"/>
  </r>
  <r>
    <x v="3"/>
    <x v="5"/>
    <x v="215"/>
    <s v="Aedes"/>
    <s v="hungaricus"/>
    <s v="hungaricus"/>
    <s v="A"/>
  </r>
  <r>
    <x v="3"/>
    <x v="5"/>
    <x v="34"/>
    <s v="Aedes"/>
    <s v="pulcritarsis"/>
    <s v="pulcritarsis"/>
    <s v="A"/>
  </r>
  <r>
    <x v="3"/>
    <x v="18"/>
    <x v="65"/>
    <s v="Aedes"/>
    <s v="provocans"/>
    <s v="provocans"/>
    <s v="A"/>
  </r>
  <r>
    <x v="3"/>
    <x v="18"/>
    <x v="216"/>
    <s v="Aedes"/>
    <s v="refiki"/>
    <s v="refiki"/>
    <s v="A"/>
  </r>
  <r>
    <x v="3"/>
    <x v="18"/>
    <x v="35"/>
    <s v="Aedes"/>
    <s v="rusticus"/>
    <s v="rusticus"/>
    <s v="A"/>
  </r>
  <r>
    <x v="3"/>
    <x v="5"/>
    <x v="217"/>
    <s v="Aedes"/>
    <s v="sagax"/>
    <s v="sagax"/>
    <s v="A"/>
  </r>
  <r>
    <x v="3"/>
    <x v="5"/>
    <x v="8"/>
    <s v="Aedes"/>
    <s v="vittiger"/>
    <s v="vittiger"/>
    <s v="A"/>
  </r>
  <r>
    <x v="3"/>
    <x v="28"/>
    <x v="66"/>
    <s v="Aedes"/>
    <s v="bancroftianus"/>
    <s v="bancroftianus"/>
    <s v="A"/>
  </r>
  <r>
    <x v="3"/>
    <x v="5"/>
    <x v="70"/>
    <s v="Aedes"/>
    <s v="procax"/>
    <s v="procax"/>
    <s v="A"/>
  </r>
  <r>
    <x v="3"/>
    <x v="5"/>
    <x v="218"/>
    <s v="Aedes"/>
    <s v="theobaldi"/>
    <s v="theobaldi"/>
    <s v="A"/>
  </r>
  <r>
    <x v="3"/>
    <x v="5"/>
    <x v="10"/>
    <s v="Aedes"/>
    <s v="vigilax"/>
    <s v="vigilax"/>
    <s v="A"/>
  </r>
  <r>
    <x v="5"/>
    <x v="16"/>
    <x v="29"/>
    <s v="Opifex"/>
    <s v="fuscus"/>
    <s v="fuscus"/>
    <s v="A"/>
  </r>
  <r>
    <x v="3"/>
    <x v="22"/>
    <x v="219"/>
    <s v="Aedes"/>
    <s v="yamadai"/>
    <s v="yamadai"/>
    <s v="B"/>
  </r>
  <r>
    <x v="3"/>
    <x v="22"/>
    <x v="220"/>
    <s v="Aedes"/>
    <s v="rossicus"/>
    <s v="rossicus"/>
    <s v="B"/>
  </r>
  <r>
    <x v="3"/>
    <x v="22"/>
    <x v="221"/>
    <s v="Aedes"/>
    <s v="geminus"/>
    <s v="geminus"/>
    <s v="B"/>
  </r>
  <r>
    <x v="3"/>
    <x v="22"/>
    <x v="44"/>
    <s v="Aedes"/>
    <s v="cinereus"/>
    <s v="cinereus"/>
    <s v="B"/>
  </r>
  <r>
    <x v="3"/>
    <x v="22"/>
    <x v="222"/>
    <s v="Aedes"/>
    <s v="esoensis"/>
    <s v="esoensis"/>
    <s v="B"/>
  </r>
  <r>
    <x v="3"/>
    <x v="51"/>
    <x v="223"/>
    <s v="Aedes"/>
    <s v="barraudi"/>
    <s v="barraudi"/>
    <s v="B"/>
  </r>
  <r>
    <x v="3"/>
    <x v="51"/>
    <x v="224"/>
    <s v="Aedes"/>
    <s v="collessi"/>
    <s v="collessi"/>
    <s v="B"/>
  </r>
  <r>
    <x v="7"/>
    <x v="23"/>
    <x v="225"/>
    <s v="Verrallina"/>
    <s v="butleri"/>
    <s v="butleri"/>
    <s v="B"/>
  </r>
  <r>
    <x v="7"/>
    <x v="23"/>
    <x v="226"/>
    <s v="Verrallina"/>
    <s v="lugubris"/>
    <s v="lugubris"/>
    <s v="B"/>
  </r>
  <r>
    <x v="1"/>
    <x v="52"/>
    <x v="227"/>
    <s v="Heizmannia"/>
    <s v="indica"/>
    <s v="indica"/>
    <s v="B"/>
  </r>
  <r>
    <x v="7"/>
    <x v="53"/>
    <x v="228"/>
    <s v="Verrallina"/>
    <s v="pseudomediofasciata"/>
    <s v="pseudomediofasciata"/>
    <s v="B"/>
  </r>
  <r>
    <x v="7"/>
    <x v="54"/>
    <x v="229"/>
    <s v="Verrallina"/>
    <s v="nobukonis"/>
    <s v="nobukonis"/>
    <s v="B"/>
  </r>
  <r>
    <x v="3"/>
    <x v="55"/>
    <x v="230"/>
    <s v="Aedes"/>
    <s v="bekkui"/>
    <s v="bekkui"/>
    <s v="B"/>
  </r>
  <r>
    <x v="3"/>
    <x v="12"/>
    <x v="231"/>
    <s v="Aedes"/>
    <s v="nigropterum"/>
    <s v="nigropterus"/>
    <s v="B"/>
  </r>
  <r>
    <x v="3"/>
    <x v="12"/>
    <x v="232"/>
    <s v="Aedes"/>
    <s v="belleci"/>
    <s v="belleci"/>
    <s v="B"/>
  </r>
  <r>
    <x v="3"/>
    <x v="12"/>
    <x v="233"/>
    <s v="Aedes"/>
    <s v="palpale"/>
    <s v="palpalis"/>
    <s v="B"/>
  </r>
  <r>
    <x v="3"/>
    <x v="21"/>
    <x v="234"/>
    <s v="Aedes"/>
    <s v="dentatus"/>
    <s v="dentatus"/>
    <s v="B"/>
  </r>
  <r>
    <x v="3"/>
    <x v="12"/>
    <x v="235"/>
    <s v="Aedes"/>
    <s v="circumluteolus"/>
    <s v="circumluteolus"/>
    <s v="B"/>
  </r>
  <r>
    <x v="3"/>
    <x v="12"/>
    <x v="21"/>
    <s v="Aedes"/>
    <s v="lineatopennis"/>
    <s v="lineatopennis"/>
    <s v="B"/>
  </r>
  <r>
    <x v="3"/>
    <x v="12"/>
    <x v="236"/>
    <s v="Aedes"/>
    <s v="mcintoshi"/>
    <s v="mcintoshi"/>
    <s v="B"/>
  </r>
  <r>
    <x v="3"/>
    <x v="12"/>
    <x v="237"/>
    <s v="Aedes"/>
    <s v="fontenillei"/>
    <s v="fontenillei"/>
    <s v="B"/>
  </r>
  <r>
    <x v="3"/>
    <x v="12"/>
    <x v="238"/>
    <s v="Aedes"/>
    <s v="sylvaticum"/>
    <s v="sylvaticus"/>
    <s v="B"/>
  </r>
  <r>
    <x v="3"/>
    <x v="12"/>
    <x v="239"/>
    <s v="Aedes"/>
    <s v="albiradius"/>
    <s v="albiradius"/>
    <s v="B"/>
  </r>
  <r>
    <x v="3"/>
    <x v="21"/>
    <x v="240"/>
    <s v="Aedes"/>
    <s v="ochraceus"/>
    <s v="ochraceus"/>
    <s v="B"/>
  </r>
  <r>
    <x v="3"/>
    <x v="56"/>
    <x v="241"/>
    <s v="Aedes"/>
    <s v="albocephalus"/>
    <s v="albocephalus"/>
    <s v="B"/>
  </r>
  <r>
    <x v="3"/>
    <x v="21"/>
    <x v="242"/>
    <s v="Aedes"/>
    <s v="pallidostriatus"/>
    <s v="pallidostriatus"/>
    <s v="B"/>
  </r>
  <r>
    <x v="3"/>
    <x v="21"/>
    <x v="243"/>
    <s v="Aedes"/>
    <s v="mediolineatus"/>
    <s v="mediolineatus"/>
    <s v="B"/>
  </r>
  <r>
    <x v="3"/>
    <x v="21"/>
    <x v="50"/>
    <s v="Aedes"/>
    <s v="dalzieli"/>
    <s v="dalzieli"/>
    <s v="B"/>
  </r>
  <r>
    <x v="3"/>
    <x v="24"/>
    <x v="244"/>
    <s v="Aedes"/>
    <s v="tarsalis"/>
    <s v="tarsalis"/>
    <s v="B"/>
  </r>
  <r>
    <x v="3"/>
    <x v="21"/>
    <x v="52"/>
    <s v="Aedes"/>
    <s v="hirsutus"/>
    <s v="hirsutus"/>
    <s v="B"/>
  </r>
  <r>
    <x v="3"/>
    <x v="21"/>
    <x v="40"/>
    <s v="Aedes"/>
    <s v="vexans"/>
    <s v="vexans"/>
    <s v="B"/>
  </r>
  <r>
    <x v="3"/>
    <x v="21"/>
    <x v="53"/>
    <s v="Aedes"/>
    <s v="fowleri"/>
    <s v="fowleri"/>
    <s v="B"/>
  </r>
  <r>
    <x v="3"/>
    <x v="21"/>
    <x v="48"/>
    <s v="Aedes"/>
    <s v="centropunctatus"/>
    <s v="centropunctatus"/>
    <s v="B"/>
  </r>
  <r>
    <x v="3"/>
    <x v="21"/>
    <x v="51"/>
    <s v="Aedes"/>
    <s v="cumminsii"/>
    <s v="cumminsii"/>
    <s v="B"/>
  </r>
  <r>
    <x v="3"/>
    <x v="24"/>
    <x v="49"/>
    <s v="Aedes"/>
    <s v="argenteopunctatus"/>
    <s v="argenteopunctatus"/>
    <s v="B"/>
  </r>
  <r>
    <x v="3"/>
    <x v="57"/>
    <x v="245"/>
    <s v="Aedes"/>
    <s v="manhi"/>
    <s v="manhi"/>
    <s v="B"/>
  </r>
  <r>
    <x v="3"/>
    <x v="57"/>
    <x v="246"/>
    <s v="Aedes"/>
    <s v="helenae"/>
    <s v="helenae"/>
    <s v="B"/>
  </r>
  <r>
    <x v="3"/>
    <x v="57"/>
    <x v="247"/>
    <s v="Aedes"/>
    <s v="kleini"/>
    <s v="kleini"/>
    <s v="B"/>
  </r>
  <r>
    <x v="3"/>
    <x v="58"/>
    <x v="248"/>
    <s v="Aedes"/>
    <s v="pholeocola"/>
    <s v="pholeocola"/>
    <s v="B"/>
  </r>
  <r>
    <x v="3"/>
    <x v="59"/>
    <x v="249"/>
    <s v="Aedes"/>
    <s v="cavernicola"/>
    <s v="cavernicola"/>
    <s v="B"/>
  </r>
  <r>
    <x v="3"/>
    <x v="60"/>
    <x v="250"/>
    <s v="Aedes"/>
    <s v="albolineatus"/>
    <s v="albolineatus"/>
    <s v="B"/>
  </r>
  <r>
    <x v="3"/>
    <x v="61"/>
    <x v="251"/>
    <s v="Aedes"/>
    <s v="amesii"/>
    <s v="amesii"/>
    <s v="B"/>
  </r>
  <r>
    <x v="3"/>
    <x v="61"/>
    <x v="252"/>
    <s v="Aedes"/>
    <s v="fumidus"/>
    <s v="fumidus"/>
    <s v="B"/>
  </r>
  <r>
    <x v="3"/>
    <x v="26"/>
    <x v="55"/>
    <s v="Aedes"/>
    <s v="cozi"/>
    <s v="cozi"/>
    <s v="B"/>
  </r>
  <r>
    <x v="3"/>
    <x v="62"/>
    <x v="253"/>
    <s v="Aedes"/>
    <s v="iyengari"/>
    <s v="iyengari"/>
    <s v="B"/>
  </r>
  <r>
    <x v="3"/>
    <x v="27"/>
    <x v="56"/>
    <s v="Aedes"/>
    <s v="taylori"/>
    <s v="taylori"/>
    <s v="B"/>
  </r>
  <r>
    <x v="3"/>
    <x v="27"/>
    <x v="57"/>
    <s v="Aedes"/>
    <s v="furcifer"/>
    <s v="furcifer"/>
    <s v="B"/>
  </r>
  <r>
    <x v="3"/>
    <x v="20"/>
    <x v="39"/>
    <s v="Aedes"/>
    <s v="vittatus"/>
    <s v="vittatus"/>
    <s v="B"/>
  </r>
  <r>
    <x v="3"/>
    <x v="4"/>
    <x v="254"/>
    <s v="Aedes"/>
    <s v="hensilli"/>
    <s v="hensilli"/>
    <s v="B"/>
  </r>
  <r>
    <x v="3"/>
    <x v="4"/>
    <x v="255"/>
    <s v="Aedes"/>
    <s v="scutellaris"/>
    <s v="scutellaris"/>
    <s v="B"/>
  </r>
  <r>
    <x v="3"/>
    <x v="4"/>
    <x v="59"/>
    <s v="Aedes"/>
    <s v="riversi"/>
    <s v="riversi"/>
    <s v="B"/>
  </r>
  <r>
    <x v="3"/>
    <x v="4"/>
    <x v="256"/>
    <s v="Aedes"/>
    <s v="dybasi"/>
    <s v="dybasi"/>
    <s v="B"/>
  </r>
  <r>
    <x v="3"/>
    <x v="4"/>
    <x v="257"/>
    <s v="Aedes"/>
    <s v="palauensis"/>
    <s v="palauensis"/>
    <s v="B"/>
  </r>
  <r>
    <x v="3"/>
    <x v="4"/>
    <x v="258"/>
    <s v="Aedes"/>
    <s v="daitensis"/>
    <s v="daitensis"/>
    <s v="B"/>
  </r>
  <r>
    <x v="3"/>
    <x v="4"/>
    <x v="259"/>
    <s v="Aedes"/>
    <s v="pseudoscutellaris"/>
    <s v="pseudoscutellaris"/>
    <s v="B"/>
  </r>
  <r>
    <x v="3"/>
    <x v="4"/>
    <x v="260"/>
    <s v="Aedes"/>
    <s v="maehleri"/>
    <s v="maehleri"/>
    <s v="B"/>
  </r>
  <r>
    <x v="3"/>
    <x v="4"/>
    <x v="5"/>
    <s v="Aedes"/>
    <s v="flavopictus"/>
    <s v="flavopictus"/>
    <s v="B"/>
  </r>
  <r>
    <x v="3"/>
    <x v="4"/>
    <x v="6"/>
    <s v="Aedes"/>
    <s v="albopictus"/>
    <s v="albopictus"/>
    <s v="B"/>
  </r>
  <r>
    <x v="3"/>
    <x v="4"/>
    <x v="261"/>
    <s v="Aedes"/>
    <s v="tongae"/>
    <s v="tongae"/>
    <s v="B"/>
  </r>
  <r>
    <x v="3"/>
    <x v="4"/>
    <x v="58"/>
    <s v="Aedes"/>
    <s v="polynesiensis"/>
    <s v="polynesiensis"/>
    <s v="B"/>
  </r>
  <r>
    <x v="3"/>
    <x v="4"/>
    <x v="262"/>
    <s v="Aedes"/>
    <s v="subalbopictus"/>
    <s v="subalbopictus"/>
    <s v="B"/>
  </r>
  <r>
    <x v="3"/>
    <x v="4"/>
    <x v="263"/>
    <s v="Aedes"/>
    <s v="pseudalbopictus"/>
    <s v="pseudalbopictus"/>
    <s v="B"/>
  </r>
  <r>
    <x v="3"/>
    <x v="4"/>
    <x v="264"/>
    <s v="Aedes"/>
    <s v="malikuli"/>
    <s v="malikuli"/>
    <s v="B"/>
  </r>
  <r>
    <x v="3"/>
    <x v="4"/>
    <x v="265"/>
    <s v="Aedes"/>
    <s v="cretinus"/>
    <s v="cretinus"/>
    <s v="B"/>
  </r>
  <r>
    <x v="3"/>
    <x v="4"/>
    <x v="266"/>
    <s v="Aedes"/>
    <s v="galloisi"/>
    <s v="galloisi"/>
    <s v="B"/>
  </r>
  <r>
    <x v="3"/>
    <x v="4"/>
    <x v="267"/>
    <s v="Aedes"/>
    <s v="annandalei"/>
    <s v="annandalei"/>
    <s v="B"/>
  </r>
  <r>
    <x v="3"/>
    <x v="4"/>
    <x v="268"/>
    <s v="Aedes"/>
    <s v="craggi"/>
    <s v="craggi"/>
    <s v="B"/>
  </r>
  <r>
    <x v="3"/>
    <x v="4"/>
    <x v="269"/>
    <s v="Aedes"/>
    <s v="w-albus"/>
    <s v="w-albus"/>
    <s v="B"/>
  </r>
  <r>
    <x v="3"/>
    <x v="4"/>
    <x v="270"/>
    <s v="Aedes"/>
    <s v="unilineatus"/>
    <s v="unilineatus"/>
    <s v="B"/>
  </r>
  <r>
    <x v="3"/>
    <x v="4"/>
    <x v="271"/>
    <s v="Aedes"/>
    <s v="desmotes"/>
    <s v="desmotes"/>
    <s v="B"/>
  </r>
  <r>
    <x v="3"/>
    <x v="4"/>
    <x v="41"/>
    <s v="Aedes"/>
    <s v="simpsoni"/>
    <s v="simpsoni"/>
    <s v="B"/>
  </r>
  <r>
    <x v="3"/>
    <x v="4"/>
    <x v="272"/>
    <s v="Aedes"/>
    <s v="lilii"/>
    <s v="lilii"/>
    <s v="B"/>
  </r>
  <r>
    <x v="3"/>
    <x v="4"/>
    <x v="64"/>
    <s v="Aedes"/>
    <s v="bromeliae"/>
    <s v="bromeliae"/>
    <s v="B"/>
  </r>
  <r>
    <x v="3"/>
    <x v="4"/>
    <x v="273"/>
    <s v="Aedes"/>
    <s v="denderensis"/>
    <s v="denderensis"/>
    <s v="B"/>
  </r>
  <r>
    <x v="3"/>
    <x v="4"/>
    <x v="63"/>
    <s v="Aedes"/>
    <s v="metallicus"/>
    <s v="metallicus"/>
    <s v="B"/>
  </r>
  <r>
    <x v="3"/>
    <x v="4"/>
    <x v="62"/>
    <s v="Aedes"/>
    <s v="africanus"/>
    <s v="africanus"/>
    <s v="B"/>
  </r>
  <r>
    <x v="3"/>
    <x v="4"/>
    <x v="61"/>
    <s v="Aedes"/>
    <s v="luteocephalus"/>
    <s v="luteocephalus"/>
    <s v="B"/>
  </r>
  <r>
    <x v="3"/>
    <x v="4"/>
    <x v="274"/>
    <s v="Aedes"/>
    <s v="wadai"/>
    <s v="wadai"/>
    <s v="B"/>
  </r>
  <r>
    <x v="3"/>
    <x v="4"/>
    <x v="4"/>
    <s v="Aedes"/>
    <s v="aegypti"/>
    <s v="aegypti"/>
    <s v="B"/>
  </r>
  <r>
    <x v="3"/>
    <x v="4"/>
    <x v="60"/>
    <s v="Aedes"/>
    <s v="mascarensis"/>
    <s v="mascarensis"/>
    <s v="B"/>
  </r>
  <r>
    <x v="3"/>
    <x v="4"/>
    <x v="275"/>
    <s v="Aedes"/>
    <s v="pia"/>
    <s v="pia"/>
    <s v="B"/>
  </r>
  <r>
    <x v="2"/>
    <x v="3"/>
    <x v="276"/>
    <s v="Armigeres"/>
    <s v="durhami"/>
    <s v="durhami"/>
    <s v="B"/>
  </r>
  <r>
    <x v="2"/>
    <x v="3"/>
    <x v="277"/>
    <s v="Aedes"/>
    <s v="kesseli"/>
    <s v="kesseli"/>
    <s v="B"/>
  </r>
  <r>
    <x v="2"/>
    <x v="3"/>
    <x v="3"/>
    <s v="Armigeres"/>
    <s v="subalbatus"/>
    <s v="subalbatus"/>
    <s v="B"/>
  </r>
  <r>
    <x v="2"/>
    <x v="3"/>
    <x v="278"/>
    <s v="Armigeres"/>
    <s v="obturbans"/>
    <s v="obturbans"/>
    <s v="B"/>
  </r>
  <r>
    <x v="2"/>
    <x v="3"/>
    <x v="43"/>
    <s v="Armigeres"/>
    <s v="malayi"/>
    <s v="malayi"/>
    <s v="B"/>
  </r>
  <r>
    <x v="2"/>
    <x v="63"/>
    <x v="279"/>
    <s v="Armigeres"/>
    <s v="flavus"/>
    <s v="flavus"/>
    <s v="B"/>
  </r>
  <r>
    <x v="6"/>
    <x v="17"/>
    <x v="30"/>
    <s v="Eretmapodites"/>
    <s v="quinquevittatus"/>
    <s v="quinquevittatus"/>
    <s v="B"/>
  </r>
  <r>
    <x v="8"/>
    <x v="17"/>
    <x v="280"/>
    <s v="Zeugnomyia"/>
    <s v="gracilis"/>
    <s v="gracilis"/>
    <s v="B"/>
  </r>
  <r>
    <x v="1"/>
    <x v="52"/>
    <x v="281"/>
    <s v="Heizmannia"/>
    <s v="menglianensis"/>
    <s v="menglianensis"/>
    <s v="B"/>
  </r>
  <r>
    <x v="1"/>
    <x v="52"/>
    <x v="282"/>
    <s v="Heizmannia"/>
    <s v="lii"/>
    <s v="lii"/>
    <s v="B"/>
  </r>
  <r>
    <x v="1"/>
    <x v="52"/>
    <x v="283"/>
    <s v="Heizmannia"/>
    <s v="proxima"/>
    <s v="proxima"/>
    <s v="B"/>
  </r>
  <r>
    <x v="1"/>
    <x v="52"/>
    <x v="284"/>
    <s v="Heizmannia"/>
    <s v="reidi"/>
    <s v="reidi"/>
    <s v="B"/>
  </r>
  <r>
    <x v="1"/>
    <x v="52"/>
    <x v="285"/>
    <s v="Heizmannia"/>
    <s v="chengi"/>
    <s v="chengi"/>
    <s v="B"/>
  </r>
  <r>
    <x v="9"/>
    <x v="17"/>
    <x v="286"/>
    <s v="Udaya"/>
    <s v="subsimilis"/>
    <s v="subsimilis"/>
    <s v="B"/>
  </r>
  <r>
    <x v="1"/>
    <x v="2"/>
    <x v="287"/>
    <s v="Heizmannia"/>
    <s v="discrepans"/>
    <s v="discrepans"/>
    <s v="B"/>
  </r>
  <r>
    <x v="0"/>
    <x v="39"/>
    <x v="131"/>
    <s v="Psorophora"/>
    <s v="columbiae"/>
    <s v="columbiae"/>
    <s v="Psorophora"/>
  </r>
  <r>
    <x v="0"/>
    <x v="39"/>
    <x v="288"/>
    <s v="Psorophora"/>
    <s v="confinnis"/>
    <s v="confinnis"/>
    <s v="Psorophora"/>
  </r>
  <r>
    <x v="0"/>
    <x v="39"/>
    <x v="289"/>
    <s v="Psorophora"/>
    <s v="cingulata"/>
    <s v="cingulata"/>
    <s v="Psorophora"/>
  </r>
  <r>
    <x v="0"/>
    <x v="39"/>
    <x v="290"/>
    <s v="Psorophora"/>
    <s v="insularia"/>
    <s v="insularius"/>
    <s v="Psorophora"/>
  </r>
  <r>
    <x v="0"/>
    <x v="39"/>
    <x v="128"/>
    <s v="Psorophora"/>
    <s v="pygmaea"/>
    <s v="pygmaea"/>
    <s v="Psorophora"/>
  </r>
  <r>
    <x v="0"/>
    <x v="39"/>
    <x v="127"/>
    <s v="Psorophora"/>
    <s v="signipennis"/>
    <s v="signipennis"/>
    <s v="Psorophora"/>
  </r>
  <r>
    <x v="0"/>
    <x v="1"/>
    <x v="133"/>
    <s v="Psorophora"/>
    <s v="howardii"/>
    <s v="howardii"/>
    <s v="Psorophora"/>
  </r>
  <r>
    <x v="0"/>
    <x v="1"/>
    <x v="134"/>
    <s v="Psorophora"/>
    <s v="ciliata"/>
    <s v="ciliata"/>
    <s v="Psorophora"/>
  </r>
  <r>
    <x v="0"/>
    <x v="0"/>
    <x v="135"/>
    <s v="Psorophora"/>
    <s v="cyanescens"/>
    <s v="cyanescens"/>
    <s v="Psorophora"/>
  </r>
  <r>
    <x v="0"/>
    <x v="0"/>
    <x v="0"/>
    <s v="Psorophora"/>
    <s v="ferox"/>
    <s v="ferox"/>
    <s v="Psorophora"/>
  </r>
  <r>
    <x v="0"/>
    <x v="0"/>
    <x v="138"/>
    <s v="Psorophora"/>
    <s v="horrida"/>
    <s v="horrida"/>
    <s v="Psorophora"/>
  </r>
  <r>
    <x v="0"/>
    <x v="0"/>
    <x v="291"/>
    <s v="Psorophora"/>
    <s v="longipalpus"/>
    <s v="longipalpus"/>
    <s v="Psorophora"/>
  </r>
  <r>
    <x v="3"/>
    <x v="5"/>
    <x v="179"/>
    <s v="Ochlerotatus"/>
    <s v="stimulans"/>
    <s v="stimulans"/>
    <s v="A"/>
  </r>
  <r>
    <x v="3"/>
    <x v="5"/>
    <x v="125"/>
    <s v="Ochlerotatus"/>
    <s v="excrucians"/>
    <s v="excrucians"/>
    <s v="A"/>
  </r>
  <r>
    <x v="3"/>
    <x v="5"/>
    <x v="7"/>
    <s v="Ochlerotatus"/>
    <s v="punctor"/>
    <s v="punctor"/>
    <s v="A"/>
  </r>
  <r>
    <x v="3"/>
    <x v="5"/>
    <x v="193"/>
    <s v="Ochlerotatus"/>
    <s v="communis"/>
    <s v="communis"/>
    <s v="A"/>
  </r>
  <r>
    <x v="3"/>
    <x v="5"/>
    <x v="191"/>
    <s v="Ochlerotatus"/>
    <s v="abserratus"/>
    <s v="abserratus"/>
    <s v="A"/>
  </r>
  <r>
    <x v="3"/>
    <x v="5"/>
    <x v="198"/>
    <s v="Ochlerotatus"/>
    <s v="cantator"/>
    <s v="cantator"/>
    <s v="A"/>
  </r>
  <r>
    <x v="3"/>
    <x v="5"/>
    <x v="200"/>
    <s v="Ochlerotatus"/>
    <s v="aurifer"/>
    <s v="aurifer"/>
    <s v="A"/>
  </r>
  <r>
    <x v="3"/>
    <x v="11"/>
    <x v="95"/>
    <s v="Ochlerotatus"/>
    <s v="japonicus"/>
    <s v="japonicus"/>
    <s v="A"/>
  </r>
  <r>
    <x v="3"/>
    <x v="15"/>
    <x v="27"/>
    <s v="Ochlerotatus"/>
    <s v="triseriatus"/>
    <s v="triseriatus"/>
    <s v="A"/>
  </r>
  <r>
    <x v="3"/>
    <x v="5"/>
    <x v="113"/>
    <s v="Ochlerotatus"/>
    <s v="canadensis"/>
    <s v="canadensis"/>
    <s v="A"/>
  </r>
  <r>
    <x v="3"/>
    <x v="5"/>
    <x v="87"/>
    <s v="Ochlerotatus"/>
    <s v="trivittatus"/>
    <s v="trivittatus"/>
    <s v="A"/>
  </r>
  <r>
    <x v="3"/>
    <x v="5"/>
    <x v="31"/>
    <s v="Ochlerotatus"/>
    <s v="sticticus"/>
    <s v="sticticus"/>
    <s v="A"/>
  </r>
  <r>
    <x v="3"/>
    <x v="5"/>
    <x v="79"/>
    <s v="Ochlerotatus"/>
    <s v="sollicitans"/>
    <s v="sollicitans"/>
    <s v="A"/>
  </r>
  <r>
    <x v="3"/>
    <x v="5"/>
    <x v="11"/>
    <s v="Ochlerotatus"/>
    <s v="taeniorhynchus"/>
    <s v="taeniorhynchus"/>
    <s v="A"/>
  </r>
  <r>
    <x v="3"/>
    <x v="32"/>
    <x v="77"/>
    <s v="Ochlerotatus"/>
    <s v="atropalpus"/>
    <s v="atropalpus"/>
    <s v="A"/>
  </r>
  <r>
    <x v="3"/>
    <x v="4"/>
    <x v="6"/>
    <s v="Aedes"/>
    <s v="albopictus"/>
    <s v="albopictus"/>
    <s v="B"/>
  </r>
  <r>
    <x v="3"/>
    <x v="21"/>
    <x v="40"/>
    <s v="Aedes"/>
    <s v="vexans"/>
    <s v="vexans"/>
    <s v="B"/>
  </r>
  <r>
    <x v="3"/>
    <x v="4"/>
    <x v="4"/>
    <s v="Aedes"/>
    <s v="aegypti"/>
    <s v="aegypti"/>
    <s v="B"/>
  </r>
  <r>
    <x v="3"/>
    <x v="22"/>
    <x v="44"/>
    <s v="Aedes"/>
    <s v="cinereus"/>
    <s v="cinereus"/>
    <s v="B"/>
  </r>
  <r>
    <x v="0"/>
    <x v="0"/>
    <x v="0"/>
    <s v="Psorophora"/>
    <s v="ferox"/>
    <s v="ferox"/>
    <s v="Psorophora"/>
  </r>
  <r>
    <x v="0"/>
    <x v="1"/>
    <x v="134"/>
    <s v="Psorophora"/>
    <s v="ciliata"/>
    <s v="ciliata"/>
    <s v="Psorophora"/>
  </r>
  <r>
    <x v="3"/>
    <x v="4"/>
    <x v="4"/>
    <s v="Aedes"/>
    <s v="aegypti"/>
    <s v="aegypti"/>
    <s v="B"/>
  </r>
  <r>
    <x v="3"/>
    <x v="4"/>
    <x v="6"/>
    <s v="Aedes"/>
    <s v="albopictus"/>
    <s v="albopictus"/>
    <s v="B"/>
  </r>
  <r>
    <x v="3"/>
    <x v="5"/>
    <x v="14"/>
    <s v="Aedes"/>
    <s v="fulvus"/>
    <s v="fulvus"/>
    <s v="A"/>
  </r>
  <r>
    <x v="3"/>
    <x v="7"/>
    <x v="15"/>
    <s v="Aedes"/>
    <s v="notoscriptus"/>
    <s v="notoscriptus"/>
    <s v="A"/>
  </r>
  <r>
    <x v="4"/>
    <x v="13"/>
    <x v="22"/>
    <s v="Haemagogus"/>
    <s v="leucocelaenus"/>
    <s v="leucocelaenus"/>
    <s v="A"/>
  </r>
  <r>
    <x v="3"/>
    <x v="5"/>
    <x v="10"/>
    <s v="Aedes"/>
    <s v="vigilax"/>
    <s v="vigilax"/>
    <s v="A"/>
  </r>
  <r>
    <x v="0"/>
    <x v="0"/>
    <x v="0"/>
    <s v="Psorophora"/>
    <s v="ferox"/>
    <s v="ferox"/>
    <s v="Psorophora"/>
  </r>
  <r>
    <x v="0"/>
    <x v="1"/>
    <x v="1"/>
    <s v="Psorophora"/>
    <s v="saeva"/>
    <s v="saeva"/>
    <s v="Psorophora"/>
  </r>
  <r>
    <x v="3"/>
    <x v="4"/>
    <x v="6"/>
    <s v="Aedes"/>
    <s v="albopictus"/>
    <s v="albopictus"/>
    <s v="B"/>
  </r>
  <r>
    <x v="3"/>
    <x v="4"/>
    <x v="5"/>
    <s v="Aedes"/>
    <s v="flavopictus"/>
    <s v="flavopictus"/>
    <s v="B"/>
  </r>
  <r>
    <x v="3"/>
    <x v="4"/>
    <x v="262"/>
    <s v="Aedes"/>
    <s v="subalbopictus"/>
    <s v="subalbopictus"/>
    <s v="B"/>
  </r>
  <r>
    <x v="3"/>
    <x v="4"/>
    <x v="256"/>
    <s v="Aedes"/>
    <s v="dybasi"/>
    <s v="dybasi"/>
    <s v="B"/>
  </r>
  <r>
    <x v="3"/>
    <x v="4"/>
    <x v="257"/>
    <s v="Aedes"/>
    <s v="palauensis"/>
    <s v="palauensis"/>
    <s v="B"/>
  </r>
  <r>
    <x v="3"/>
    <x v="4"/>
    <x v="4"/>
    <s v="Aedes"/>
    <s v="aegypti"/>
    <s v="aegypti"/>
    <s v="B"/>
  </r>
  <r>
    <x v="3"/>
    <x v="4"/>
    <x v="61"/>
    <s v="Aedes"/>
    <s v="luteocephalus"/>
    <s v="luteocephalus"/>
    <s v="B"/>
  </r>
  <r>
    <x v="2"/>
    <x v="3"/>
    <x v="3"/>
    <s v="Armigeres"/>
    <s v="subalbatus"/>
    <s v="subalbatus"/>
    <s v="B"/>
  </r>
  <r>
    <x v="3"/>
    <x v="21"/>
    <x v="40"/>
    <s v="Aedes"/>
    <s v="vexans"/>
    <s v="vexans"/>
    <s v="B"/>
  </r>
  <r>
    <x v="3"/>
    <x v="24"/>
    <x v="49"/>
    <s v="Aedes"/>
    <s v="argenteopunctata"/>
    <s v="argenteopunctatus"/>
    <s v="B"/>
  </r>
  <r>
    <x v="3"/>
    <x v="27"/>
    <x v="57"/>
    <s v="Aedes"/>
    <s v="furcifer"/>
    <s v="furcifer"/>
    <s v="B"/>
  </r>
  <r>
    <x v="3"/>
    <x v="27"/>
    <x v="56"/>
    <s v="Aedes"/>
    <s v="taylori"/>
    <s v="taylori"/>
    <s v="B"/>
  </r>
  <r>
    <x v="3"/>
    <x v="60"/>
    <x v="250"/>
    <s v="Aedes"/>
    <s v="albolineatus"/>
    <s v="albolineatus"/>
    <s v="B"/>
  </r>
  <r>
    <x v="3"/>
    <x v="41"/>
    <x v="146"/>
    <s v="Aedes"/>
    <s v="togoi"/>
    <s v="togoi"/>
    <s v="A"/>
  </r>
  <r>
    <x v="3"/>
    <x v="41"/>
    <x v="147"/>
    <s v="Aedes"/>
    <s v="savoryi"/>
    <s v="savoryi"/>
    <s v="A"/>
  </r>
  <r>
    <x v="3"/>
    <x v="15"/>
    <x v="27"/>
    <s v="Aedes"/>
    <s v="triseriatus"/>
    <s v="triseriatus"/>
    <s v="A"/>
  </r>
  <r>
    <x v="3"/>
    <x v="11"/>
    <x v="20"/>
    <s v="Aedes"/>
    <s v="koreicus"/>
    <s v="koreicus"/>
    <s v="A"/>
  </r>
  <r>
    <x v="3"/>
    <x v="11"/>
    <x v="95"/>
    <s v="Aedes"/>
    <s v="japonicus"/>
    <s v="japonicus"/>
    <s v="A"/>
  </r>
  <r>
    <x v="3"/>
    <x v="7"/>
    <x v="15"/>
    <s v="Aedes"/>
    <s v="notoscriptus"/>
    <s v="notoscriptus"/>
    <s v="A"/>
  </r>
  <r>
    <x v="4"/>
    <x v="14"/>
    <x v="25"/>
    <s v="Haemagogus"/>
    <s v="janthinomys"/>
    <s v="janthinomys"/>
    <s v="A"/>
  </r>
  <r>
    <x v="3"/>
    <x v="5"/>
    <x v="11"/>
    <s v="Aedes"/>
    <s v="taeniorhynchus"/>
    <s v="taeniorhynchus"/>
    <s v="A"/>
  </r>
  <r>
    <x v="3"/>
    <x v="5"/>
    <x v="32"/>
    <s v="Aedes"/>
    <s v="caspius"/>
    <s v="caspius"/>
    <s v="A"/>
  </r>
  <r>
    <x v="3"/>
    <x v="5"/>
    <x v="91"/>
    <s v="Aedes"/>
    <s v="dorsalis"/>
    <s v="dorsalis"/>
    <s v="A"/>
  </r>
  <r>
    <x v="3"/>
    <x v="5"/>
    <x v="10"/>
    <s v="Aedes"/>
    <s v="vigilax"/>
    <s v="vigilax"/>
    <s v="A"/>
  </r>
  <r>
    <x v="0"/>
    <x v="0"/>
    <x v="0"/>
    <s v="Psorophora"/>
    <s v="ferox"/>
    <s v="ferox"/>
    <s v="Psorophora"/>
  </r>
  <r>
    <x v="0"/>
    <x v="1"/>
    <x v="133"/>
    <s v="Psorophora"/>
    <s v="howardii"/>
    <s v="howardii"/>
    <s v="Psorophora"/>
  </r>
  <r>
    <x v="3"/>
    <x v="4"/>
    <x v="6"/>
    <s v="Aedes"/>
    <s v="albopictus"/>
    <s v="albopictus"/>
    <s v="B"/>
  </r>
  <r>
    <x v="3"/>
    <x v="4"/>
    <x v="5"/>
    <s v="Aedes"/>
    <s v="flavopictus"/>
    <s v="flavopictus"/>
    <s v="B"/>
  </r>
  <r>
    <x v="3"/>
    <x v="4"/>
    <x v="256"/>
    <s v="Aedes"/>
    <s v="dybasi"/>
    <s v="dybasi"/>
    <s v="B"/>
  </r>
  <r>
    <x v="3"/>
    <x v="4"/>
    <x v="257"/>
    <s v="Aedes"/>
    <s v="palauensis"/>
    <s v="palauensis"/>
    <s v="B"/>
  </r>
  <r>
    <x v="3"/>
    <x v="4"/>
    <x v="59"/>
    <s v="Aedes"/>
    <s v="riversi"/>
    <s v="riversi"/>
    <s v="B"/>
  </r>
  <r>
    <x v="3"/>
    <x v="4"/>
    <x v="255"/>
    <s v="Aedes"/>
    <s v="scutellaris"/>
    <s v="scutellaris"/>
    <s v="B"/>
  </r>
  <r>
    <x v="3"/>
    <x v="4"/>
    <x v="254"/>
    <s v="Aedes"/>
    <s v="hensilli"/>
    <s v="hensilli"/>
    <s v="B"/>
  </r>
  <r>
    <x v="3"/>
    <x v="4"/>
    <x v="260"/>
    <s v="Aedes"/>
    <s v="maehleri"/>
    <s v="maehleri"/>
    <s v="B"/>
  </r>
  <r>
    <x v="3"/>
    <x v="4"/>
    <x v="266"/>
    <s v="Aedes"/>
    <s v="galloisi"/>
    <s v="galloisi"/>
    <s v="B"/>
  </r>
  <r>
    <x v="3"/>
    <x v="4"/>
    <x v="4"/>
    <s v="Aedes"/>
    <s v="aegypti"/>
    <s v="aegypti"/>
    <s v="B"/>
  </r>
  <r>
    <x v="3"/>
    <x v="4"/>
    <x v="274"/>
    <s v="Aedes"/>
    <s v="wadai"/>
    <s v="wadai"/>
    <s v="B"/>
  </r>
  <r>
    <x v="3"/>
    <x v="11"/>
    <x v="95"/>
    <s v="Aedes"/>
    <s v="japonicus"/>
    <s v="japonicus"/>
    <s v="A"/>
  </r>
  <r>
    <x v="3"/>
    <x v="48"/>
    <x v="207"/>
    <s v="Aedes"/>
    <s v="nipponicus"/>
    <s v="nipponicus"/>
    <s v="A"/>
  </r>
  <r>
    <x v="3"/>
    <x v="22"/>
    <x v="222"/>
    <s v="Aedes"/>
    <s v="esoensis"/>
    <s v="esoensis"/>
    <s v="A"/>
  </r>
  <r>
    <x v="3"/>
    <x v="4"/>
    <x v="6"/>
    <s v="Aedes"/>
    <s v="albopictus"/>
    <s v="albopictus"/>
    <s v="B"/>
  </r>
  <r>
    <x v="3"/>
    <x v="4"/>
    <x v="5"/>
    <s v="Aedes"/>
    <s v="flavopictus"/>
    <s v="flavopictus"/>
    <s v="B"/>
  </r>
  <r>
    <x v="3"/>
    <x v="4"/>
    <x v="4"/>
    <s v="Aedes"/>
    <s v="aegypti"/>
    <s v="aegypti"/>
    <s v="B"/>
  </r>
  <r>
    <x v="3"/>
    <x v="5"/>
    <x v="36"/>
    <s v="Aedes"/>
    <s v="scapularis"/>
    <s v="scapularis"/>
    <s v="A"/>
  </r>
  <r>
    <x v="3"/>
    <x v="5"/>
    <x v="37"/>
    <s v="Aedes"/>
    <s v="serratus"/>
    <s v="serratus"/>
    <s v="A"/>
  </r>
  <r>
    <x v="3"/>
    <x v="32"/>
    <x v="75"/>
    <s v="Aedes"/>
    <s v="fluviatilis"/>
    <s v="fluviatilis"/>
    <s v="A"/>
  </r>
  <r>
    <x v="3"/>
    <x v="5"/>
    <x v="14"/>
    <s v="Ochlerotatus"/>
    <s v="fulvus"/>
    <s v="fulvus"/>
    <s v="A"/>
  </r>
  <r>
    <x v="3"/>
    <x v="5"/>
    <x v="10"/>
    <s v="Ochlerotatus"/>
    <s v="vigilax"/>
    <s v="vigilax"/>
    <s v="A"/>
  </r>
  <r>
    <x v="3"/>
    <x v="5"/>
    <x v="9"/>
    <s v="Ochlerotatus"/>
    <s v="nigrithorax"/>
    <s v="nigrithorax"/>
    <s v="A"/>
  </r>
  <r>
    <x v="3"/>
    <x v="5"/>
    <x v="8"/>
    <s v="Ochlerotatus"/>
    <s v="vittiger"/>
    <s v="vittiger"/>
    <s v="A"/>
  </r>
  <r>
    <x v="3"/>
    <x v="5"/>
    <x v="11"/>
    <s v="Ochlerotatus"/>
    <s v="taeniorhynchus"/>
    <s v="taeniorhynchus"/>
    <s v="A"/>
  </r>
  <r>
    <x v="4"/>
    <x v="14"/>
    <x v="26"/>
    <s v="Haemagogus"/>
    <s v="albomaculatus"/>
    <s v="albomaculatus"/>
    <s v="A"/>
  </r>
  <r>
    <x v="4"/>
    <x v="14"/>
    <x v="24"/>
    <s v="Haemagogus"/>
    <s v="spegazzinii"/>
    <s v="spegazzinii"/>
    <s v="A"/>
  </r>
  <r>
    <x v="4"/>
    <x v="14"/>
    <x v="25"/>
    <s v="Haemagogus"/>
    <s v="janthinomys"/>
    <s v="janthinomys"/>
    <s v="A"/>
  </r>
  <r>
    <x v="4"/>
    <x v="14"/>
    <x v="23"/>
    <s v="Haemagogus"/>
    <s v="tropicalis"/>
    <s v="tropicalis"/>
    <s v="A"/>
  </r>
  <r>
    <x v="4"/>
    <x v="13"/>
    <x v="22"/>
    <s v="Haemagogus"/>
    <s v="leucocelaenus"/>
    <s v="leucocelaenus"/>
    <s v="A"/>
  </r>
  <r>
    <x v="0"/>
    <x v="0"/>
    <x v="0"/>
    <s v="Psorophora"/>
    <s v="ferox"/>
    <s v="ferox"/>
    <s v="Psorophora"/>
  </r>
  <r>
    <x v="0"/>
    <x v="0"/>
    <x v="292"/>
    <s v="Psorophora"/>
    <s v="albipes"/>
    <s v="albipes"/>
    <s v="Psorophora"/>
  </r>
  <r>
    <x v="0"/>
    <x v="1"/>
    <x v="1"/>
    <s v="Psorophora"/>
    <s v="saeva"/>
    <s v="saeva"/>
    <s v="Psorophora"/>
  </r>
  <r>
    <x v="0"/>
    <x v="39"/>
    <x v="289"/>
    <s v="Psorophora"/>
    <s v="cingulata"/>
    <s v="cingulata"/>
    <s v="Psorophora"/>
  </r>
  <r>
    <x v="3"/>
    <x v="32"/>
    <x v="75"/>
    <s v="Aedes"/>
    <s v="fluviatilis"/>
    <s v="fluviatilis"/>
    <s v="Neither"/>
  </r>
  <r>
    <x v="3"/>
    <x v="5"/>
    <x v="110"/>
    <s v="Aedes"/>
    <s v="camptorhynchus"/>
    <s v="camptorhynchus"/>
    <s v="A"/>
  </r>
  <r>
    <x v="3"/>
    <x v="10"/>
    <x v="19"/>
    <s v="Aedes"/>
    <s v="alboannulatus"/>
    <s v="alboannulatus"/>
    <s v="A"/>
  </r>
  <r>
    <x v="3"/>
    <x v="5"/>
    <x v="33"/>
    <s v="Aedes"/>
    <s v="detritus"/>
    <s v="detritus"/>
    <s v="A"/>
  </r>
  <r>
    <x v="3"/>
    <x v="5"/>
    <x v="36"/>
    <s v="Aedes"/>
    <s v="scapularis"/>
    <s v="scapularis"/>
    <s v="A"/>
  </r>
  <r>
    <x v="3"/>
    <x v="5"/>
    <x v="11"/>
    <s v="Aedes"/>
    <s v="taeniorhynchus"/>
    <s v="taeniorhynchus"/>
    <s v="A"/>
  </r>
  <r>
    <x v="4"/>
    <x v="14"/>
    <x v="25"/>
    <s v="Haemagogus"/>
    <s v="janthinomys"/>
    <s v="janthinomys"/>
    <s v="A"/>
  </r>
  <r>
    <x v="3"/>
    <x v="7"/>
    <x v="15"/>
    <s v="Aedes"/>
    <s v="notoscriptus"/>
    <s v="notoscriptus"/>
    <s v="A"/>
  </r>
  <r>
    <x v="3"/>
    <x v="5"/>
    <x v="10"/>
    <s v="Aedes"/>
    <s v="vigilax"/>
    <s v="vigilax"/>
    <s v="A"/>
  </r>
  <r>
    <x v="3"/>
    <x v="4"/>
    <x v="58"/>
    <s v="Aedes"/>
    <s v="polynesiensis"/>
    <s v="polynesiensis"/>
    <s v="B"/>
  </r>
  <r>
    <x v="3"/>
    <x v="4"/>
    <x v="59"/>
    <s v="Aedes"/>
    <s v="riversi"/>
    <s v="riversi"/>
    <s v="B"/>
  </r>
  <r>
    <x v="3"/>
    <x v="4"/>
    <x v="6"/>
    <s v="Aedes"/>
    <s v="albopictus"/>
    <s v="albopictus"/>
    <s v="B"/>
  </r>
  <r>
    <x v="3"/>
    <x v="4"/>
    <x v="4"/>
    <s v="Aedes"/>
    <s v="aegypti"/>
    <s v="aegypti"/>
    <s v="B"/>
  </r>
  <r>
    <x v="0"/>
    <x v="39"/>
    <x v="289"/>
    <s v="Psorophora"/>
    <s v="cingulata"/>
    <s v="cingulata"/>
    <s v="Psorophora"/>
  </r>
  <r>
    <x v="0"/>
    <x v="0"/>
    <x v="292"/>
    <s v="Psorophora"/>
    <s v="albipes"/>
    <s v="albipes"/>
    <s v="Psorophora"/>
  </r>
  <r>
    <x v="3"/>
    <x v="27"/>
    <x v="56"/>
    <s v="Aedes"/>
    <s v="taylori"/>
    <s v="taylori"/>
    <s v="Neither"/>
  </r>
  <r>
    <x v="3"/>
    <x v="27"/>
    <x v="57"/>
    <s v="Aedes"/>
    <s v="furcifer"/>
    <s v="furcifer"/>
    <s v="Neither"/>
  </r>
  <r>
    <x v="3"/>
    <x v="22"/>
    <x v="44"/>
    <s v="Aedes"/>
    <s v="cinereus"/>
    <s v="cinereus"/>
    <s v="A"/>
  </r>
  <r>
    <x v="3"/>
    <x v="18"/>
    <x v="35"/>
    <s v="Aedes"/>
    <s v="rusticus"/>
    <s v="rusticus"/>
    <s v="A"/>
  </r>
  <r>
    <x v="3"/>
    <x v="5"/>
    <x v="31"/>
    <s v="Aedes"/>
    <s v="sticticus"/>
    <s v="sticticus"/>
    <s v="A"/>
  </r>
  <r>
    <x v="3"/>
    <x v="5"/>
    <x v="33"/>
    <s v="Aedes"/>
    <s v="detritus"/>
    <s v="detritus"/>
    <s v="A"/>
  </r>
  <r>
    <x v="3"/>
    <x v="5"/>
    <x v="178"/>
    <s v="Aedes"/>
    <s v="cantans"/>
    <s v="cantans"/>
    <s v="A"/>
  </r>
  <r>
    <x v="3"/>
    <x v="5"/>
    <x v="188"/>
    <s v="Aedes"/>
    <s v="cataphylla"/>
    <s v="cataphylla"/>
    <s v="A"/>
  </r>
  <r>
    <x v="3"/>
    <x v="5"/>
    <x v="7"/>
    <s v="Aedes"/>
    <s v="punctor"/>
    <s v="punctor"/>
    <s v="A"/>
  </r>
  <r>
    <x v="3"/>
    <x v="5"/>
    <x v="196"/>
    <s v="Aedes"/>
    <s v="pullatus"/>
    <s v="pullatus"/>
    <s v="A"/>
  </r>
  <r>
    <x v="3"/>
    <x v="19"/>
    <x v="38"/>
    <s v="Aedes"/>
    <s v="geniculatus"/>
    <s v="geniculatus"/>
    <s v="A"/>
  </r>
  <r>
    <x v="3"/>
    <x v="5"/>
    <x v="32"/>
    <s v="Aedes"/>
    <s v="caspius"/>
    <s v="caspius"/>
    <s v="A"/>
  </r>
  <r>
    <x v="3"/>
    <x v="47"/>
    <x v="203"/>
    <s v="Aedes"/>
    <s v="mariae"/>
    <s v="mariae"/>
    <s v="A"/>
  </r>
  <r>
    <x v="3"/>
    <x v="21"/>
    <x v="40"/>
    <s v="Aedes"/>
    <s v="vexans"/>
    <s v="vexans"/>
    <s v="B"/>
  </r>
  <r>
    <x v="3"/>
    <x v="4"/>
    <x v="61"/>
    <s v="Aedes"/>
    <s v="luteocephalus"/>
    <s v="luteocephalus"/>
    <s v="B"/>
  </r>
  <r>
    <x v="3"/>
    <x v="4"/>
    <x v="6"/>
    <s v="Aedes"/>
    <s v="albopictus"/>
    <s v="albopictus"/>
    <s v="B"/>
  </r>
  <r>
    <x v="3"/>
    <x v="4"/>
    <x v="4"/>
    <s v="Aedes"/>
    <s v="aegypti"/>
    <s v="aegypti"/>
    <s v="B"/>
  </r>
  <r>
    <x v="3"/>
    <x v="29"/>
    <x v="156"/>
    <s v="Aedes"/>
    <s v="ashworthi"/>
    <s v="ashworthi"/>
    <s v="A"/>
  </r>
  <r>
    <x v="3"/>
    <x v="29"/>
    <x v="69"/>
    <s v="Aedes"/>
    <s v="wardangensis"/>
    <s v="wardangensis"/>
    <s v="A"/>
  </r>
  <r>
    <x v="3"/>
    <x v="29"/>
    <x v="68"/>
    <s v="Aedes"/>
    <s v="australis"/>
    <s v="australis"/>
    <s v="A"/>
  </r>
  <r>
    <x v="3"/>
    <x v="21"/>
    <x v="40"/>
    <s v="Aedes"/>
    <s v="vexans"/>
    <s v="vexans"/>
    <s v="B"/>
  </r>
  <r>
    <x v="3"/>
    <x v="27"/>
    <x v="56"/>
    <s v="Aedes"/>
    <s v="taylori"/>
    <s v="taylori"/>
    <s v="B"/>
  </r>
  <r>
    <x v="3"/>
    <x v="27"/>
    <x v="57"/>
    <s v="Aedes"/>
    <s v="furcifer"/>
    <s v="furcifer"/>
    <s v="B"/>
  </r>
  <r>
    <x v="3"/>
    <x v="4"/>
    <x v="6"/>
    <s v="Aedes"/>
    <s v="albopictus"/>
    <s v="albopictus"/>
    <s v="B"/>
  </r>
  <r>
    <x v="3"/>
    <x v="4"/>
    <x v="61"/>
    <s v="Aedes"/>
    <s v="luteocephalus"/>
    <s v="luteocephalus"/>
    <s v="B"/>
  </r>
  <r>
    <x v="3"/>
    <x v="4"/>
    <x v="4"/>
    <s v="Aedes"/>
    <s v="aegypti"/>
    <s v="aegypti"/>
    <s v="B"/>
  </r>
  <r>
    <x v="4"/>
    <x v="14"/>
    <x v="26"/>
    <s v="Haemagogus"/>
    <s v="albomaculatus"/>
    <s v="albomaculatus"/>
    <s v="A"/>
  </r>
  <r>
    <x v="4"/>
    <x v="14"/>
    <x v="24"/>
    <s v="Haemagogus"/>
    <s v="spegazzinii"/>
    <s v="spegazzinii"/>
    <s v="A"/>
  </r>
  <r>
    <x v="4"/>
    <x v="14"/>
    <x v="25"/>
    <s v="Haemagogus"/>
    <s v="janthinomys"/>
    <s v="janthinomys"/>
    <s v="A"/>
  </r>
  <r>
    <x v="4"/>
    <x v="13"/>
    <x v="22"/>
    <s v="Haemagogus"/>
    <s v="leucocelaenus"/>
    <s v="leucocelaenus"/>
    <s v="A"/>
  </r>
  <r>
    <x v="4"/>
    <x v="14"/>
    <x v="23"/>
    <s v="Haemagogus"/>
    <s v="tropicalis"/>
    <s v="tropicalis"/>
    <s v="A"/>
  </r>
  <r>
    <x v="3"/>
    <x v="8"/>
    <x v="16"/>
    <s v="Aedes"/>
    <s v="busckii"/>
    <s v="busckii"/>
    <s v="A"/>
  </r>
  <r>
    <x v="3"/>
    <x v="7"/>
    <x v="15"/>
    <s v="Aedes"/>
    <s v="notoscriptus"/>
    <s v="notoscriptus"/>
    <s v="A"/>
  </r>
  <r>
    <x v="2"/>
    <x v="3"/>
    <x v="3"/>
    <s v="Armigeres"/>
    <s v="subalbatus"/>
    <s v="subalbatus"/>
    <s v="A"/>
  </r>
  <r>
    <x v="3"/>
    <x v="10"/>
    <x v="19"/>
    <s v="Aedes"/>
    <s v="alboannulatus"/>
    <s v="alboannulatus"/>
    <s v="A"/>
  </r>
  <r>
    <x v="3"/>
    <x v="10"/>
    <x v="18"/>
    <s v="Aedes"/>
    <s v="rubrithorax"/>
    <s v="rubrithorax"/>
    <s v="A"/>
  </r>
  <r>
    <x v="3"/>
    <x v="5"/>
    <x v="9"/>
    <s v="Aedes"/>
    <s v="nigrithorax"/>
    <s v="nigrithorax"/>
    <s v="A"/>
  </r>
  <r>
    <x v="3"/>
    <x v="5"/>
    <x v="8"/>
    <s v="Aedes"/>
    <s v="vittiger"/>
    <s v="vittiger"/>
    <s v="A"/>
  </r>
  <r>
    <x v="3"/>
    <x v="5"/>
    <x v="11"/>
    <s v="Aedes"/>
    <s v="taeniorhynchus"/>
    <s v="taeniorhynchus"/>
    <s v="A"/>
  </r>
  <r>
    <x v="3"/>
    <x v="5"/>
    <x v="10"/>
    <s v="Aedes"/>
    <s v="vigilax"/>
    <s v="vigilax"/>
    <s v="A"/>
  </r>
  <r>
    <x v="3"/>
    <x v="5"/>
    <x v="14"/>
    <s v="Aedes"/>
    <s v="fulvus"/>
    <s v="fulvus"/>
    <s v="A"/>
  </r>
  <r>
    <x v="3"/>
    <x v="9"/>
    <x v="17"/>
    <s v="Aedes"/>
    <s v="alternans"/>
    <s v="alternans"/>
    <s v="A"/>
  </r>
  <r>
    <x v="3"/>
    <x v="11"/>
    <x v="20"/>
    <s v="Aedes"/>
    <s v="koreicus"/>
    <s v="koreicus"/>
    <s v="A"/>
  </r>
  <r>
    <x v="3"/>
    <x v="11"/>
    <x v="95"/>
    <s v="Aedes"/>
    <s v="japonicus"/>
    <s v="japonicus"/>
    <s v="A"/>
  </r>
  <r>
    <x v="3"/>
    <x v="4"/>
    <x v="6"/>
    <s v="Aedes"/>
    <s v="albopictus"/>
    <s v="albopictus"/>
    <s v="B"/>
  </r>
  <r>
    <x v="3"/>
    <x v="4"/>
    <x v="5"/>
    <s v="Aedes"/>
    <s v="flavopictus"/>
    <s v="flavopictus"/>
    <s v="B"/>
  </r>
  <r>
    <x v="3"/>
    <x v="4"/>
    <x v="4"/>
    <s v="Aedes"/>
    <s v="aegypti"/>
    <s v="aegypti"/>
    <s v="B"/>
  </r>
  <r>
    <x v="0"/>
    <x v="0"/>
    <x v="0"/>
    <s v="Psorophora"/>
    <s v="ferox"/>
    <s v="ferox"/>
    <s v="Psorophora"/>
  </r>
  <r>
    <x v="0"/>
    <x v="1"/>
    <x v="1"/>
    <s v="Psorophora"/>
    <s v="saeva"/>
    <s v="saeva"/>
    <s v="Psorophora"/>
  </r>
  <r>
    <x v="3"/>
    <x v="4"/>
    <x v="4"/>
    <s v="Aedes"/>
    <s v="aegypti"/>
    <s v="aegypti"/>
    <s v="B"/>
  </r>
  <r>
    <x v="3"/>
    <x v="4"/>
    <x v="60"/>
    <s v="Aedes"/>
    <s v="mascarensis"/>
    <s v="mascarensis"/>
    <s v="B"/>
  </r>
  <r>
    <x v="3"/>
    <x v="4"/>
    <x v="6"/>
    <s v="Aedes"/>
    <s v="albopictus"/>
    <s v="albopictus"/>
    <s v="B"/>
  </r>
  <r>
    <x v="3"/>
    <x v="11"/>
    <x v="95"/>
    <s v="Aedes"/>
    <s v="japonicus"/>
    <s v="japonicus"/>
    <s v="A"/>
  </r>
  <r>
    <x v="3"/>
    <x v="11"/>
    <x v="20"/>
    <s v="Aedes"/>
    <s v="koreicus"/>
    <s v="koreicus"/>
    <s v="A"/>
  </r>
  <r>
    <x v="3"/>
    <x v="5"/>
    <x v="110"/>
    <s v="Ochlerotatus"/>
    <s v="camptorhynchus"/>
    <s v="camptorhynchus"/>
    <s v="A"/>
  </r>
  <r>
    <x v="0"/>
    <x v="0"/>
    <x v="292"/>
    <s v="Psorophora"/>
    <s v="albipes"/>
    <s v="albipes"/>
    <s v="Psorophora"/>
  </r>
  <r>
    <x v="3"/>
    <x v="5"/>
    <x v="9"/>
    <s v="Aedes"/>
    <s v="nigrithorax"/>
    <s v="nigrithorax"/>
    <s v="A"/>
  </r>
  <r>
    <x v="3"/>
    <x v="5"/>
    <x v="8"/>
    <s v="Aedes"/>
    <s v="vittiger"/>
    <s v="vittiger"/>
    <s v="A"/>
  </r>
  <r>
    <x v="3"/>
    <x v="5"/>
    <x v="32"/>
    <s v="Aedes"/>
    <s v="caspius"/>
    <s v="caspius"/>
    <s v="A"/>
  </r>
  <r>
    <x v="4"/>
    <x v="14"/>
    <x v="26"/>
    <s v="Haemagogus"/>
    <s v="albomaculatus"/>
    <s v="albomaculatus"/>
    <s v="A"/>
  </r>
  <r>
    <x v="4"/>
    <x v="14"/>
    <x v="24"/>
    <s v="Haemagogus"/>
    <s v="spegazzinii"/>
    <s v="spegazzinii"/>
    <s v="A"/>
  </r>
  <r>
    <x v="3"/>
    <x v="21"/>
    <x v="40"/>
    <s v="Aedes"/>
    <s v="vexans"/>
    <s v="vexans"/>
    <s v="B"/>
  </r>
  <r>
    <x v="3"/>
    <x v="4"/>
    <x v="4"/>
    <s v="Aedes"/>
    <s v="aegypti"/>
    <s v="aegypti"/>
    <s v="B"/>
  </r>
  <r>
    <x v="3"/>
    <x v="4"/>
    <x v="5"/>
    <s v="Aedes"/>
    <s v="flavopictus"/>
    <s v="flavopictus"/>
    <s v="B"/>
  </r>
  <r>
    <x v="0"/>
    <x v="0"/>
    <x v="0"/>
    <s v="Psorophora"/>
    <s v="ferox"/>
    <s v="ferox"/>
    <s v="Psorophora"/>
  </r>
  <r>
    <x v="0"/>
    <x v="1"/>
    <x v="1"/>
    <s v="Psorophora"/>
    <s v="saeva"/>
    <s v="saeva"/>
    <s v="Psorophora"/>
  </r>
  <r>
    <x v="3"/>
    <x v="5"/>
    <x v="179"/>
    <s v="Ochlerotatus"/>
    <s v="stimulans"/>
    <s v="stimulans"/>
    <s v="A"/>
  </r>
  <r>
    <x v="3"/>
    <x v="5"/>
    <x v="125"/>
    <s v="Ochlerotatus"/>
    <s v="excrucians"/>
    <s v="excrucians"/>
    <s v="A"/>
  </r>
  <r>
    <x v="3"/>
    <x v="5"/>
    <x v="7"/>
    <s v="Ochlerotatus"/>
    <s v="punctor"/>
    <s v="punctor"/>
    <s v="A"/>
  </r>
  <r>
    <x v="3"/>
    <x v="5"/>
    <x v="193"/>
    <s v="Ochlerotatus"/>
    <s v="communis"/>
    <s v="communis"/>
    <s v="A"/>
  </r>
  <r>
    <x v="3"/>
    <x v="5"/>
    <x v="191"/>
    <s v="Ochlerotatus"/>
    <s v="abserratus"/>
    <s v="abserratus"/>
    <s v="A"/>
  </r>
  <r>
    <x v="3"/>
    <x v="5"/>
    <x v="198"/>
    <s v="Ochlerotatus"/>
    <s v="cantator"/>
    <s v="cantator"/>
    <s v="A"/>
  </r>
  <r>
    <x v="3"/>
    <x v="5"/>
    <x v="200"/>
    <s v="Ochlerotatus"/>
    <s v="aurifer"/>
    <s v="aurifer"/>
    <s v="A"/>
  </r>
  <r>
    <x v="3"/>
    <x v="5"/>
    <x v="117"/>
    <s v="Ochlerotatus"/>
    <s v="diantaeus"/>
    <s v="diantaeus"/>
    <s v="A"/>
  </r>
  <r>
    <x v="3"/>
    <x v="5"/>
    <x v="188"/>
    <s v="Ochlerotatus"/>
    <s v="cataphylla"/>
    <s v="cataphylla"/>
    <s v="A"/>
  </r>
  <r>
    <x v="3"/>
    <x v="5"/>
    <x v="113"/>
    <s v="Ochlerotatus"/>
    <s v="canadensis"/>
    <s v="canadensis"/>
    <s v="A"/>
  </r>
  <r>
    <x v="3"/>
    <x v="5"/>
    <x v="31"/>
    <s v="Ochlerotatus"/>
    <s v="sticticus"/>
    <s v="sticticus"/>
    <s v="A"/>
  </r>
  <r>
    <x v="3"/>
    <x v="5"/>
    <x v="32"/>
    <s v="Ochlerotatus"/>
    <s v="caspius"/>
    <s v="caspius"/>
    <s v="A"/>
  </r>
  <r>
    <x v="3"/>
    <x v="4"/>
    <x v="4"/>
    <s v="Aedes"/>
    <s v="aegypti"/>
    <s v="aegypti"/>
    <s v="B"/>
  </r>
  <r>
    <x v="3"/>
    <x v="22"/>
    <x v="44"/>
    <s v="Aedes"/>
    <s v="cinereus"/>
    <s v="cinereus"/>
    <s v="B"/>
  </r>
  <r>
    <x v="3"/>
    <x v="11"/>
    <x v="20"/>
    <s v="Aedes"/>
    <s v="koreicus"/>
    <s v="koreicus"/>
    <s v="A"/>
  </r>
  <r>
    <x v="3"/>
    <x v="11"/>
    <x v="95"/>
    <s v="Aedes"/>
    <s v="japonicus"/>
    <s v="japonicus"/>
    <s v="A"/>
  </r>
  <r>
    <x v="3"/>
    <x v="6"/>
    <x v="13"/>
    <s v="Aedes"/>
    <s v="hatorii"/>
    <s v="hatorii"/>
    <s v="A"/>
  </r>
  <r>
    <x v="3"/>
    <x v="41"/>
    <x v="146"/>
    <s v="Aedes"/>
    <s v="togoi"/>
    <s v="togoi"/>
    <s v="A"/>
  </r>
  <r>
    <x v="3"/>
    <x v="41"/>
    <x v="147"/>
    <s v="Aedes"/>
    <s v="savoryi"/>
    <s v="savoryi"/>
    <s v="A"/>
  </r>
  <r>
    <x v="3"/>
    <x v="19"/>
    <x v="38"/>
    <s v="Aedes"/>
    <s v="geniculatus"/>
    <s v="geniculatus"/>
    <s v="A"/>
  </r>
  <r>
    <x v="3"/>
    <x v="7"/>
    <x v="15"/>
    <s v="Aedes"/>
    <s v="notoscriptus"/>
    <s v="notoscriptus"/>
    <s v="A"/>
  </r>
  <r>
    <x v="3"/>
    <x v="38"/>
    <x v="107"/>
    <s v="Aedes"/>
    <s v="sierrensis"/>
    <s v="sierrensis"/>
    <s v="A"/>
  </r>
  <r>
    <x v="3"/>
    <x v="10"/>
    <x v="19"/>
    <s v="Aedes"/>
    <s v="alboannulatus"/>
    <s v="alboannulatus"/>
    <s v="A"/>
  </r>
  <r>
    <x v="3"/>
    <x v="48"/>
    <x v="207"/>
    <s v="Aedes"/>
    <s v="nipponicus"/>
    <s v="nipponicus"/>
    <s v="A"/>
  </r>
  <r>
    <x v="3"/>
    <x v="45"/>
    <x v="158"/>
    <s v="Aedes"/>
    <s v="greenii"/>
    <s v="greenii"/>
    <s v="A"/>
  </r>
  <r>
    <x v="3"/>
    <x v="47"/>
    <x v="202"/>
    <s v="Aedes"/>
    <s v="phoeniciae"/>
    <s v="phoeniciae"/>
    <s v="A"/>
  </r>
  <r>
    <x v="3"/>
    <x v="47"/>
    <x v="203"/>
    <s v="Aedes"/>
    <s v="mariae"/>
    <s v="mariae"/>
    <s v="A"/>
  </r>
  <r>
    <x v="3"/>
    <x v="5"/>
    <x v="91"/>
    <s v="Aedes"/>
    <s v="dorsalis"/>
    <s v="dorsalis"/>
    <s v="A"/>
  </r>
  <r>
    <x v="3"/>
    <x v="5"/>
    <x v="200"/>
    <s v="Aedes"/>
    <s v="aurifer"/>
    <s v="aurifer"/>
    <s v="A"/>
  </r>
  <r>
    <x v="3"/>
    <x v="5"/>
    <x v="191"/>
    <s v="Aedes"/>
    <s v="abserratus"/>
    <s v="abserratus"/>
    <s v="A"/>
  </r>
  <r>
    <x v="3"/>
    <x v="5"/>
    <x v="85"/>
    <s v="Aedes"/>
    <s v="atlanticus"/>
    <s v="atlanticus"/>
    <s v="A"/>
  </r>
  <r>
    <x v="3"/>
    <x v="32"/>
    <x v="77"/>
    <s v="Aedes"/>
    <s v="atropalpus"/>
    <s v="atropalpus"/>
    <s v="A"/>
  </r>
  <r>
    <x v="3"/>
    <x v="32"/>
    <x v="76"/>
    <s v="Aedes"/>
    <s v="epactius"/>
    <s v="epactius"/>
    <s v="A"/>
  </r>
  <r>
    <x v="4"/>
    <x v="14"/>
    <x v="25"/>
    <s v="Haemagogus"/>
    <s v="janthinomys"/>
    <s v="janthinomys"/>
    <s v="A"/>
  </r>
  <r>
    <x v="4"/>
    <x v="13"/>
    <x v="22"/>
    <s v="Haemagogus"/>
    <s v="leucocelaenus"/>
    <s v="leucocelaenus"/>
    <s v="A"/>
  </r>
  <r>
    <x v="3"/>
    <x v="9"/>
    <x v="293"/>
    <s v="Aedes"/>
    <s v="laniger"/>
    <s v="laniger"/>
    <s v="A"/>
  </r>
  <r>
    <x v="3"/>
    <x v="9"/>
    <x v="17"/>
    <s v="Aedes"/>
    <s v="alternans"/>
    <s v="alternans"/>
    <s v="A"/>
  </r>
  <r>
    <x v="3"/>
    <x v="9"/>
    <x v="176"/>
    <s v="Aedes"/>
    <s v="sudanensis"/>
    <s v="sudanensis"/>
    <s v="A"/>
  </r>
  <r>
    <x v="3"/>
    <x v="12"/>
    <x v="235"/>
    <s v="Aedes"/>
    <s v="circumluteolus"/>
    <s v="circumluteolus"/>
    <s v="B"/>
  </r>
  <r>
    <x v="3"/>
    <x v="12"/>
    <x v="236"/>
    <s v="Aedes"/>
    <s v="mcintoshi"/>
    <s v="mcintoshi"/>
    <s v="B"/>
  </r>
  <r>
    <x v="3"/>
    <x v="55"/>
    <x v="230"/>
    <s v="Aedes"/>
    <s v="bekkui"/>
    <s v="bekkui"/>
    <s v="B"/>
  </r>
  <r>
    <x v="3"/>
    <x v="22"/>
    <x v="222"/>
    <s v="Aedes"/>
    <s v="esoensis"/>
    <s v="esoensis"/>
    <s v="B"/>
  </r>
  <r>
    <x v="3"/>
    <x v="22"/>
    <x v="44"/>
    <s v="Aedes"/>
    <s v="cinereus"/>
    <s v="cinereus"/>
    <s v="B"/>
  </r>
  <r>
    <x v="3"/>
    <x v="27"/>
    <x v="56"/>
    <s v="Aedes"/>
    <s v="taylori"/>
    <s v="taylori"/>
    <s v="B"/>
  </r>
  <r>
    <x v="3"/>
    <x v="27"/>
    <x v="57"/>
    <s v="Aedes"/>
    <s v="furcifer"/>
    <s v="furcifer"/>
    <s v="B"/>
  </r>
  <r>
    <x v="3"/>
    <x v="24"/>
    <x v="49"/>
    <s v="Aedes"/>
    <s v="argenteopunctatus"/>
    <s v="argenteopunctatus"/>
    <s v="B"/>
  </r>
  <r>
    <x v="3"/>
    <x v="21"/>
    <x v="51"/>
    <s v="Aedes"/>
    <s v="cumminsii"/>
    <s v="cumminsii"/>
    <s v="B"/>
  </r>
  <r>
    <x v="3"/>
    <x v="21"/>
    <x v="40"/>
    <s v="Aedes"/>
    <s v="vexans"/>
    <s v="vexans"/>
    <s v="B"/>
  </r>
  <r>
    <x v="3"/>
    <x v="26"/>
    <x v="55"/>
    <s v="Aedes"/>
    <s v="cozi"/>
    <s v="cozi"/>
    <s v="B"/>
  </r>
  <r>
    <x v="3"/>
    <x v="20"/>
    <x v="39"/>
    <s v="Aedes"/>
    <s v="vittatus"/>
    <s v="vittatus"/>
    <s v="B"/>
  </r>
  <r>
    <x v="3"/>
    <x v="4"/>
    <x v="63"/>
    <s v="Aedes"/>
    <s v="metallicus"/>
    <s v="metallicus"/>
    <s v="B"/>
  </r>
  <r>
    <x v="3"/>
    <x v="4"/>
    <x v="61"/>
    <s v="Aedes"/>
    <s v="luteocephalus"/>
    <s v="luteocephalus"/>
    <s v="B"/>
  </r>
  <r>
    <x v="3"/>
    <x v="4"/>
    <x v="4"/>
    <s v="Aedes"/>
    <s v="aegypti"/>
    <s v="aegypti"/>
    <s v="B"/>
  </r>
  <r>
    <x v="3"/>
    <x v="4"/>
    <x v="6"/>
    <s v="Aedes"/>
    <s v="albopictus"/>
    <s v="albopictus"/>
    <s v="B"/>
  </r>
  <r>
    <x v="0"/>
    <x v="0"/>
    <x v="0"/>
    <s v="Psorophora"/>
    <s v="ferox"/>
    <s v="ferox"/>
    <s v="Psorophora"/>
  </r>
  <r>
    <x v="0"/>
    <x v="0"/>
    <x v="138"/>
    <s v="Psorophora"/>
    <s v="horrida"/>
    <s v="horrida"/>
    <s v="Psorophora"/>
  </r>
  <r>
    <x v="10"/>
    <x v="64"/>
    <x v="29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F790B-6772-48DC-8B30-DD5352C8056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297" firstHeaderRow="1" firstDataRow="1" firstDataCol="3"/>
  <pivotFields count="7">
    <pivotField axis="axisRow" compact="0" outline="0" showAll="0" defaultSubtotal="0">
      <items count="12">
        <item x="3"/>
        <item m="1" x="11"/>
        <item x="2"/>
        <item x="6"/>
        <item x="4"/>
        <item x="1"/>
        <item x="5"/>
        <item x="0"/>
        <item x="9"/>
        <item x="7"/>
        <item x="8"/>
        <item x="10"/>
      </items>
    </pivotField>
    <pivotField axis="axisRow" compact="0" outline="0" showAll="0" defaultSubtotal="0">
      <items count="65">
        <item x="47"/>
        <item x="22"/>
        <item x="21"/>
        <item x="3"/>
        <item x="59"/>
        <item x="57"/>
        <item x="45"/>
        <item x="24"/>
        <item x="6"/>
        <item x="13"/>
        <item x="26"/>
        <item x="19"/>
        <item x="49"/>
        <item x="27"/>
        <item x="10"/>
        <item x="48"/>
        <item x="55"/>
        <item x="30"/>
        <item x="20"/>
        <item x="32"/>
        <item x="42"/>
        <item x="39"/>
        <item x="31"/>
        <item x="14"/>
        <item x="29"/>
        <item x="54"/>
        <item x="52"/>
        <item x="46"/>
        <item x="8"/>
        <item x="11"/>
        <item x="0"/>
        <item x="38"/>
        <item x="43"/>
        <item x="36"/>
        <item x="63"/>
        <item x="37"/>
        <item x="61"/>
        <item x="50"/>
        <item x="35"/>
        <item x="2"/>
        <item x="9"/>
        <item x="53"/>
        <item x="12"/>
        <item x="58"/>
        <item x="5"/>
        <item x="16"/>
        <item x="51"/>
        <item x="33"/>
        <item x="62"/>
        <item x="44"/>
        <item x="56"/>
        <item x="15"/>
        <item x="28"/>
        <item x="1"/>
        <item x="7"/>
        <item x="40"/>
        <item x="18"/>
        <item x="60"/>
        <item x="25"/>
        <item x="4"/>
        <item x="41"/>
        <item x="23"/>
        <item x="64"/>
        <item x="17"/>
        <item x="34"/>
      </items>
    </pivotField>
    <pivotField axis="axisRow" compact="0" outline="0" showAll="0" defaultSubtotal="0">
      <items count="308">
        <item x="191"/>
        <item x="2"/>
        <item x="72"/>
        <item x="4"/>
        <item x="62"/>
        <item m="1" x="302"/>
        <item m="1" x="303"/>
        <item m="1" x="296"/>
        <item x="136"/>
        <item x="292"/>
        <item x="239"/>
        <item x="19"/>
        <item x="211"/>
        <item x="250"/>
        <item x="26"/>
        <item x="6"/>
        <item x="212"/>
        <item x="181"/>
        <item x="17"/>
        <item x="251"/>
        <item x="165"/>
        <item x="267"/>
        <item x="177"/>
        <item m="1" x="306"/>
        <item x="49"/>
        <item x="156"/>
        <item x="153"/>
        <item x="85"/>
        <item x="77"/>
        <item x="159"/>
        <item x="200"/>
        <item x="68"/>
        <item x="175"/>
        <item x="149"/>
        <item x="66"/>
        <item x="223"/>
        <item x="182"/>
        <item x="230"/>
        <item x="232"/>
        <item x="170"/>
        <item x="169"/>
        <item x="94"/>
        <item x="64"/>
        <item x="92"/>
        <item x="16"/>
        <item x="225"/>
        <item x="204"/>
        <item x="110"/>
        <item x="113"/>
        <item x="100"/>
        <item x="178"/>
        <item x="198"/>
        <item x="47"/>
        <item x="32"/>
        <item x="188"/>
        <item x="249"/>
        <item x="48"/>
        <item x="285"/>
        <item x="142"/>
        <item x="194"/>
        <item x="134"/>
        <item x="44"/>
        <item x="289"/>
        <item x="235"/>
        <item x="224"/>
        <item x="131"/>
        <item x="197"/>
        <item x="193"/>
        <item x="288"/>
        <item x="55"/>
        <item x="268"/>
        <item x="265"/>
        <item x="164"/>
        <item x="51"/>
        <item x="135"/>
        <item x="185"/>
        <item x="258"/>
        <item x="50"/>
        <item x="273"/>
        <item x="234"/>
        <item x="214"/>
        <item x="271"/>
        <item x="33"/>
        <item x="117"/>
        <item x="129"/>
        <item x="287"/>
        <item x="150"/>
        <item x="91"/>
        <item x="83"/>
        <item x="276"/>
        <item x="256"/>
        <item x="148"/>
        <item x="12"/>
        <item x="76"/>
        <item x="28"/>
        <item x="222"/>
        <item x="180"/>
        <item x="125"/>
        <item x="213"/>
        <item x="0"/>
        <item x="126"/>
        <item x="124"/>
        <item x="71"/>
        <item x="5"/>
        <item x="279"/>
        <item x="75"/>
        <item x="237"/>
        <item x="139"/>
        <item x="53"/>
        <item x="174"/>
        <item x="14"/>
        <item x="82"/>
        <item x="252"/>
        <item x="46"/>
        <item x="57"/>
        <item x="29"/>
        <item x="266"/>
        <item x="221"/>
        <item x="38"/>
        <item x="160"/>
        <item x="280"/>
        <item x="158"/>
        <item x="187"/>
        <item x="143"/>
        <item x="13"/>
        <item x="246"/>
        <item x="93"/>
        <item x="254"/>
        <item x="115"/>
        <item x="52"/>
        <item x="138"/>
        <item x="133"/>
        <item x="215"/>
        <item m="1" x="295"/>
        <item x="120"/>
        <item x="121"/>
        <item x="122"/>
        <item x="227"/>
        <item x="86"/>
        <item m="1" x="301"/>
        <item x="42"/>
        <item x="118"/>
        <item x="253"/>
        <item x="130"/>
        <item x="25"/>
        <item x="95"/>
        <item x="184"/>
        <item x="277"/>
        <item x="151"/>
        <item x="247"/>
        <item x="73"/>
        <item x="20"/>
        <item x="293"/>
        <item x="22"/>
        <item m="1" x="307"/>
        <item x="189"/>
        <item x="282"/>
        <item x="272"/>
        <item x="45"/>
        <item x="21"/>
        <item x="291"/>
        <item x="226"/>
        <item x="61"/>
        <item m="1" x="297"/>
        <item x="260"/>
        <item x="43"/>
        <item x="264"/>
        <item x="157"/>
        <item x="245"/>
        <item x="203"/>
        <item x="60"/>
        <item x="137"/>
        <item x="236"/>
        <item x="243"/>
        <item x="74"/>
        <item x="205"/>
        <item x="281"/>
        <item x="173"/>
        <item x="63"/>
        <item x="99"/>
        <item x="78"/>
        <item x="101"/>
        <item x="108"/>
        <item x="106"/>
        <item x="67"/>
        <item x="167"/>
        <item x="116"/>
        <item x="9"/>
        <item x="80"/>
        <item m="1" x="298"/>
        <item x="119"/>
        <item x="207"/>
        <item x="209"/>
        <item x="111"/>
        <item x="210"/>
        <item x="229"/>
        <item x="15"/>
        <item x="208"/>
        <item x="278"/>
        <item x="90"/>
        <item x="240"/>
        <item x="206"/>
        <item x="155"/>
        <item x="257"/>
        <item x="242"/>
        <item x="96"/>
        <item m="1" x="305"/>
        <item x="54"/>
        <item x="163"/>
        <item x="202"/>
        <item x="248"/>
        <item x="275"/>
        <item x="114"/>
        <item x="58"/>
        <item x="144"/>
        <item x="70"/>
        <item x="152"/>
        <item x="65"/>
        <item x="283"/>
        <item m="1" x="300"/>
        <item x="228"/>
        <item x="259"/>
        <item x="141"/>
        <item x="34"/>
        <item x="196"/>
        <item x="7"/>
        <item x="105"/>
        <item x="128"/>
        <item x="104"/>
        <item x="30"/>
        <item x="216"/>
        <item x="284"/>
        <item x="190"/>
        <item x="183"/>
        <item x="59"/>
        <item x="220"/>
        <item x="18"/>
        <item x="97"/>
        <item x="35"/>
        <item x="1"/>
        <item x="217"/>
        <item x="147"/>
        <item x="36"/>
        <item x="192"/>
        <item x="255"/>
        <item x="37"/>
        <item x="107"/>
        <item x="127"/>
        <item x="112"/>
        <item x="41"/>
        <item x="79"/>
        <item x="24"/>
        <item x="81"/>
        <item x="102"/>
        <item x="186"/>
        <item x="31"/>
        <item x="179"/>
        <item x="3"/>
        <item x="262"/>
        <item x="98"/>
        <item x="286"/>
        <item x="176"/>
        <item m="1" x="304"/>
        <item m="1" x="299"/>
        <item x="11"/>
        <item x="195"/>
        <item x="244"/>
        <item x="56"/>
        <item x="161"/>
        <item x="88"/>
        <item x="218"/>
        <item x="199"/>
        <item x="146"/>
        <item x="132"/>
        <item x="261"/>
        <item x="140"/>
        <item x="84"/>
        <item x="89"/>
        <item x="103"/>
        <item x="27"/>
        <item x="87"/>
        <item x="23"/>
        <item x="270"/>
        <item x="109"/>
        <item x="166"/>
        <item x="40"/>
        <item x="10"/>
        <item x="39"/>
        <item x="8"/>
        <item x="274"/>
        <item x="269"/>
        <item x="69"/>
        <item x="145"/>
        <item x="123"/>
        <item x="154"/>
        <item x="171"/>
        <item x="219"/>
        <item x="201"/>
        <item x="162"/>
        <item x="294"/>
        <item x="233"/>
        <item x="168"/>
        <item x="172"/>
        <item x="231"/>
        <item x="238"/>
        <item x="241"/>
        <item x="263"/>
        <item x="29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"/>
    <field x="2"/>
  </rowFields>
  <rowItems count="296">
    <i>
      <x/>
      <x/>
      <x v="169"/>
    </i>
    <i r="2">
      <x v="209"/>
    </i>
    <i r="2">
      <x v="297"/>
    </i>
    <i r="1">
      <x v="1"/>
      <x v="61"/>
    </i>
    <i r="2">
      <x v="95"/>
    </i>
    <i r="2">
      <x v="117"/>
    </i>
    <i r="2">
      <x v="235"/>
    </i>
    <i r="2">
      <x v="296"/>
    </i>
    <i r="1">
      <x v="2"/>
      <x v="56"/>
    </i>
    <i r="2">
      <x v="73"/>
    </i>
    <i r="2">
      <x v="77"/>
    </i>
    <i r="2">
      <x v="79"/>
    </i>
    <i r="2">
      <x v="108"/>
    </i>
    <i r="2">
      <x v="129"/>
    </i>
    <i r="2">
      <x v="173"/>
    </i>
    <i r="2">
      <x v="200"/>
    </i>
    <i r="2">
      <x v="204"/>
    </i>
    <i r="2">
      <x v="285"/>
    </i>
    <i r="1">
      <x v="4"/>
      <x v="55"/>
    </i>
    <i r="1">
      <x v="5"/>
      <x v="125"/>
    </i>
    <i r="2">
      <x v="149"/>
    </i>
    <i r="2">
      <x v="168"/>
    </i>
    <i r="1">
      <x v="6"/>
      <x v="29"/>
    </i>
    <i r="2">
      <x v="121"/>
    </i>
    <i r="1">
      <x v="7"/>
      <x v="24"/>
    </i>
    <i r="2">
      <x v="266"/>
    </i>
    <i r="1">
      <x v="8"/>
      <x v="92"/>
    </i>
    <i r="2">
      <x v="124"/>
    </i>
    <i r="2">
      <x v="222"/>
    </i>
    <i r="2">
      <x v="275"/>
    </i>
    <i r="1">
      <x v="10"/>
      <x v="69"/>
    </i>
    <i r="1">
      <x v="11"/>
      <x v="118"/>
    </i>
    <i r="1">
      <x v="12"/>
      <x v="16"/>
    </i>
    <i r="1">
      <x v="13"/>
      <x v="114"/>
    </i>
    <i r="2">
      <x v="267"/>
    </i>
    <i r="1">
      <x v="14"/>
      <x v="11"/>
    </i>
    <i r="2">
      <x v="179"/>
    </i>
    <i r="2">
      <x v="236"/>
    </i>
    <i r="2">
      <x v="237"/>
    </i>
    <i r="2">
      <x v="259"/>
    </i>
    <i r="1">
      <x v="15"/>
      <x v="12"/>
    </i>
    <i r="2">
      <x v="191"/>
    </i>
    <i r="2">
      <x v="192"/>
    </i>
    <i r="2">
      <x v="194"/>
    </i>
    <i r="2">
      <x v="197"/>
    </i>
    <i r="2">
      <x v="201"/>
    </i>
    <i r="1">
      <x v="16"/>
      <x v="37"/>
    </i>
    <i r="1">
      <x v="17"/>
      <x v="150"/>
    </i>
    <i r="1">
      <x v="18"/>
      <x v="287"/>
    </i>
    <i r="1">
      <x v="19"/>
      <x v="28"/>
    </i>
    <i r="2">
      <x v="93"/>
    </i>
    <i r="2">
      <x v="105"/>
    </i>
    <i r="1">
      <x v="20"/>
      <x v="33"/>
    </i>
    <i r="1">
      <x v="22"/>
      <x v="174"/>
    </i>
    <i r="1">
      <x v="24"/>
      <x v="25"/>
    </i>
    <i r="2">
      <x v="31"/>
    </i>
    <i r="2">
      <x v="291"/>
    </i>
    <i r="1">
      <x v="27"/>
      <x v="119"/>
    </i>
    <i r="1">
      <x v="28"/>
      <x v="32"/>
    </i>
    <i r="2">
      <x v="44"/>
    </i>
    <i r="2">
      <x v="109"/>
    </i>
    <i r="1">
      <x v="29"/>
      <x v="58"/>
    </i>
    <i r="2">
      <x v="107"/>
    </i>
    <i r="2">
      <x v="123"/>
    </i>
    <i r="2">
      <x v="145"/>
    </i>
    <i r="2">
      <x v="151"/>
    </i>
    <i r="1">
      <x v="31"/>
      <x v="80"/>
    </i>
    <i r="2">
      <x v="182"/>
    </i>
    <i r="2">
      <x v="246"/>
    </i>
    <i r="2">
      <x v="283"/>
    </i>
    <i r="1">
      <x v="32"/>
      <x v="86"/>
    </i>
    <i r="1">
      <x v="33"/>
      <x v="226"/>
    </i>
    <i r="1">
      <x v="35"/>
      <x v="183"/>
    </i>
    <i r="1">
      <x v="36"/>
      <x v="19"/>
    </i>
    <i r="2">
      <x v="112"/>
    </i>
    <i r="1">
      <x v="37"/>
      <x v="98"/>
    </i>
    <i r="1">
      <x v="38"/>
      <x v="253"/>
    </i>
    <i r="2">
      <x v="278"/>
    </i>
    <i r="2">
      <x v="295"/>
    </i>
    <i r="2">
      <x v="302"/>
    </i>
    <i r="1">
      <x v="40"/>
      <x v="18"/>
    </i>
    <i r="2">
      <x v="152"/>
    </i>
    <i r="2">
      <x v="261"/>
    </i>
    <i r="1">
      <x v="42"/>
      <x v="10"/>
    </i>
    <i r="2">
      <x v="38"/>
    </i>
    <i r="2">
      <x v="63"/>
    </i>
    <i r="2">
      <x v="106"/>
    </i>
    <i r="2">
      <x v="159"/>
    </i>
    <i r="2">
      <x v="172"/>
    </i>
    <i r="2">
      <x v="300"/>
    </i>
    <i r="2">
      <x v="303"/>
    </i>
    <i r="2">
      <x v="304"/>
    </i>
    <i r="1">
      <x v="43"/>
      <x v="210"/>
    </i>
    <i r="1">
      <x v="44"/>
      <x/>
    </i>
    <i r="2">
      <x v="2"/>
    </i>
    <i r="2">
      <x v="17"/>
    </i>
    <i r="2">
      <x v="20"/>
    </i>
    <i r="2">
      <x v="22"/>
    </i>
    <i r="2">
      <x v="27"/>
    </i>
    <i r="2">
      <x v="30"/>
    </i>
    <i r="2">
      <x v="36"/>
    </i>
    <i r="2">
      <x v="40"/>
    </i>
    <i r="2">
      <x v="46"/>
    </i>
    <i r="2">
      <x v="47"/>
    </i>
    <i r="2">
      <x v="48"/>
    </i>
    <i r="2">
      <x v="50"/>
    </i>
    <i r="2">
      <x v="51"/>
    </i>
    <i r="2">
      <x v="53"/>
    </i>
    <i r="2">
      <x v="54"/>
    </i>
    <i r="2">
      <x v="59"/>
    </i>
    <i r="2">
      <x v="66"/>
    </i>
    <i r="2">
      <x v="67"/>
    </i>
    <i r="2">
      <x v="72"/>
    </i>
    <i r="2">
      <x v="75"/>
    </i>
    <i r="2">
      <x v="82"/>
    </i>
    <i r="2">
      <x v="83"/>
    </i>
    <i r="2">
      <x v="87"/>
    </i>
    <i r="2">
      <x v="88"/>
    </i>
    <i r="2">
      <x v="96"/>
    </i>
    <i r="2">
      <x v="97"/>
    </i>
    <i r="2">
      <x v="100"/>
    </i>
    <i r="2">
      <x v="101"/>
    </i>
    <i r="2">
      <x v="102"/>
    </i>
    <i r="2">
      <x v="110"/>
    </i>
    <i r="2">
      <x v="111"/>
    </i>
    <i r="2">
      <x v="122"/>
    </i>
    <i r="2">
      <x v="128"/>
    </i>
    <i r="2">
      <x v="132"/>
    </i>
    <i r="2">
      <x v="134"/>
    </i>
    <i r="2">
      <x v="135"/>
    </i>
    <i r="2">
      <x v="136"/>
    </i>
    <i r="2">
      <x v="138"/>
    </i>
    <i r="2">
      <x v="141"/>
    </i>
    <i r="2">
      <x v="146"/>
    </i>
    <i r="2">
      <x v="155"/>
    </i>
    <i r="2">
      <x v="175"/>
    </i>
    <i r="2">
      <x v="180"/>
    </i>
    <i r="2">
      <x v="185"/>
    </i>
    <i r="2">
      <x v="186"/>
    </i>
    <i r="2">
      <x v="187"/>
    </i>
    <i r="2">
      <x v="188"/>
    </i>
    <i r="2">
      <x v="190"/>
    </i>
    <i r="2">
      <x v="193"/>
    </i>
    <i r="2">
      <x v="199"/>
    </i>
    <i r="2">
      <x v="208"/>
    </i>
    <i r="2">
      <x v="212"/>
    </i>
    <i r="2">
      <x v="215"/>
    </i>
    <i r="2">
      <x v="223"/>
    </i>
    <i r="2">
      <x v="224"/>
    </i>
    <i r="2">
      <x v="225"/>
    </i>
    <i r="2">
      <x v="232"/>
    </i>
    <i r="2">
      <x v="233"/>
    </i>
    <i r="2">
      <x v="240"/>
    </i>
    <i r="2">
      <x v="242"/>
    </i>
    <i r="2">
      <x v="243"/>
    </i>
    <i r="2">
      <x v="245"/>
    </i>
    <i r="2">
      <x v="248"/>
    </i>
    <i r="2">
      <x v="250"/>
    </i>
    <i r="2">
      <x v="252"/>
    </i>
    <i r="2">
      <x v="254"/>
    </i>
    <i r="2">
      <x v="255"/>
    </i>
    <i r="2">
      <x v="256"/>
    </i>
    <i r="2">
      <x v="264"/>
    </i>
    <i r="2">
      <x v="265"/>
    </i>
    <i r="2">
      <x v="269"/>
    </i>
    <i r="2">
      <x v="270"/>
    </i>
    <i r="2">
      <x v="271"/>
    </i>
    <i r="2">
      <x v="276"/>
    </i>
    <i r="2">
      <x v="277"/>
    </i>
    <i r="2">
      <x v="280"/>
    </i>
    <i r="2">
      <x v="284"/>
    </i>
    <i r="2">
      <x v="286"/>
    </i>
    <i r="2">
      <x v="288"/>
    </i>
    <i r="2">
      <x v="293"/>
    </i>
    <i r="2">
      <x v="301"/>
    </i>
    <i r="1">
      <x v="46"/>
      <x v="35"/>
    </i>
    <i r="2">
      <x v="64"/>
    </i>
    <i r="1">
      <x v="47"/>
      <x v="205"/>
    </i>
    <i r="1">
      <x v="48"/>
      <x v="142"/>
    </i>
    <i r="1">
      <x v="49"/>
      <x v="26"/>
    </i>
    <i r="2">
      <x v="148"/>
    </i>
    <i r="2">
      <x v="216"/>
    </i>
    <i r="2">
      <x v="294"/>
    </i>
    <i r="1">
      <x v="50"/>
      <x v="305"/>
    </i>
    <i r="1">
      <x v="51"/>
      <x v="41"/>
    </i>
    <i r="2">
      <x v="43"/>
    </i>
    <i r="2">
      <x v="126"/>
    </i>
    <i r="2">
      <x v="268"/>
    </i>
    <i r="2">
      <x v="279"/>
    </i>
    <i r="2">
      <x v="298"/>
    </i>
    <i r="1">
      <x v="52"/>
      <x v="34"/>
    </i>
    <i r="2">
      <x v="184"/>
    </i>
    <i r="1">
      <x v="54"/>
      <x v="196"/>
    </i>
    <i r="2">
      <x v="228"/>
    </i>
    <i r="1">
      <x v="55"/>
      <x v="214"/>
    </i>
    <i r="2">
      <x v="292"/>
    </i>
    <i r="1">
      <x v="56"/>
      <x v="39"/>
    </i>
    <i r="2">
      <x v="217"/>
    </i>
    <i r="2">
      <x v="230"/>
    </i>
    <i r="2">
      <x v="238"/>
    </i>
    <i r="1">
      <x v="57"/>
      <x v="13"/>
    </i>
    <i r="1">
      <x v="58"/>
      <x v="207"/>
    </i>
    <i r="1">
      <x v="59"/>
      <x v="3"/>
    </i>
    <i r="2">
      <x v="4"/>
    </i>
    <i r="2">
      <x v="15"/>
    </i>
    <i r="2">
      <x v="21"/>
    </i>
    <i r="2">
      <x v="42"/>
    </i>
    <i r="2">
      <x v="70"/>
    </i>
    <i r="2">
      <x v="71"/>
    </i>
    <i r="2">
      <x v="76"/>
    </i>
    <i r="2">
      <x v="78"/>
    </i>
    <i r="2">
      <x v="81"/>
    </i>
    <i r="2">
      <x v="90"/>
    </i>
    <i r="2">
      <x v="103"/>
    </i>
    <i r="2">
      <x v="116"/>
    </i>
    <i r="2">
      <x v="127"/>
    </i>
    <i r="2">
      <x v="157"/>
    </i>
    <i r="2">
      <x v="162"/>
    </i>
    <i r="2">
      <x v="164"/>
    </i>
    <i r="2">
      <x v="166"/>
    </i>
    <i r="2">
      <x v="170"/>
    </i>
    <i r="2">
      <x v="178"/>
    </i>
    <i r="2">
      <x v="203"/>
    </i>
    <i r="2">
      <x v="211"/>
    </i>
    <i r="2">
      <x v="213"/>
    </i>
    <i r="2">
      <x v="221"/>
    </i>
    <i r="2">
      <x v="234"/>
    </i>
    <i r="2">
      <x v="244"/>
    </i>
    <i r="2">
      <x v="249"/>
    </i>
    <i r="2">
      <x v="258"/>
    </i>
    <i r="2">
      <x v="274"/>
    </i>
    <i r="2">
      <x v="282"/>
    </i>
    <i r="2">
      <x v="289"/>
    </i>
    <i r="2">
      <x v="290"/>
    </i>
    <i r="2">
      <x v="306"/>
    </i>
    <i r="1">
      <x v="60"/>
      <x v="241"/>
    </i>
    <i r="2">
      <x v="272"/>
    </i>
    <i r="1">
      <x v="64"/>
      <x v="49"/>
    </i>
    <i r="2">
      <x v="91"/>
    </i>
    <i r="2">
      <x v="167"/>
    </i>
    <i r="2">
      <x v="181"/>
    </i>
    <i r="2">
      <x v="202"/>
    </i>
    <i>
      <x v="2"/>
      <x v="3"/>
      <x v="89"/>
    </i>
    <i r="2">
      <x v="147"/>
    </i>
    <i r="2">
      <x v="165"/>
    </i>
    <i r="2">
      <x v="198"/>
    </i>
    <i r="2">
      <x v="257"/>
    </i>
    <i r="1">
      <x v="34"/>
      <x v="104"/>
    </i>
    <i>
      <x v="3"/>
      <x v="63"/>
      <x v="140"/>
    </i>
    <i r="2">
      <x v="229"/>
    </i>
    <i>
      <x v="4"/>
      <x v="9"/>
      <x v="153"/>
    </i>
    <i r="1">
      <x v="23"/>
      <x v="14"/>
    </i>
    <i r="2">
      <x v="94"/>
    </i>
    <i r="2">
      <x v="144"/>
    </i>
    <i r="2">
      <x v="177"/>
    </i>
    <i r="2">
      <x v="251"/>
    </i>
    <i r="2">
      <x v="281"/>
    </i>
    <i>
      <x v="5"/>
      <x v="26"/>
      <x v="57"/>
    </i>
    <i r="2">
      <x v="137"/>
    </i>
    <i r="2">
      <x v="156"/>
    </i>
    <i r="2">
      <x v="176"/>
    </i>
    <i r="2">
      <x v="218"/>
    </i>
    <i r="2">
      <x v="231"/>
    </i>
    <i r="1">
      <x v="39"/>
      <x v="1"/>
    </i>
    <i r="2">
      <x v="85"/>
    </i>
    <i>
      <x v="6"/>
      <x v="45"/>
      <x v="115"/>
    </i>
    <i>
      <x v="7"/>
      <x v="21"/>
      <x v="62"/>
    </i>
    <i r="2">
      <x v="65"/>
    </i>
    <i r="2">
      <x v="68"/>
    </i>
    <i r="2">
      <x v="84"/>
    </i>
    <i r="2">
      <x v="143"/>
    </i>
    <i r="2">
      <x v="227"/>
    </i>
    <i r="2">
      <x v="247"/>
    </i>
    <i r="2">
      <x v="273"/>
    </i>
    <i r="2">
      <x v="307"/>
    </i>
    <i r="1">
      <x v="30"/>
      <x v="8"/>
    </i>
    <i r="2">
      <x v="9"/>
    </i>
    <i r="2">
      <x v="74"/>
    </i>
    <i r="2">
      <x v="99"/>
    </i>
    <i r="2">
      <x v="130"/>
    </i>
    <i r="2">
      <x v="160"/>
    </i>
    <i r="2">
      <x v="171"/>
    </i>
    <i r="1">
      <x v="53"/>
      <x v="60"/>
    </i>
    <i r="2">
      <x v="131"/>
    </i>
    <i r="2">
      <x v="239"/>
    </i>
    <i>
      <x v="8"/>
      <x v="63"/>
      <x v="260"/>
    </i>
    <i>
      <x v="9"/>
      <x v="25"/>
      <x v="195"/>
    </i>
    <i r="1">
      <x v="41"/>
      <x v="220"/>
    </i>
    <i r="1">
      <x v="61"/>
      <x v="45"/>
    </i>
    <i r="2">
      <x v="52"/>
    </i>
    <i r="2">
      <x v="113"/>
    </i>
    <i r="2">
      <x v="158"/>
    </i>
    <i r="2">
      <x v="161"/>
    </i>
    <i>
      <x v="10"/>
      <x v="63"/>
      <x v="120"/>
    </i>
    <i>
      <x v="11"/>
      <x v="62"/>
      <x v="299"/>
    </i>
    <i t="grand">
      <x/>
    </i>
  </rowItems>
  <colItems count="1">
    <i/>
  </colItems>
  <formats count="4">
    <format dxfId="3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"/>
          </reference>
          <reference field="2" count="2">
            <x v="153"/>
            <x v="154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1"/>
          </reference>
          <reference field="2" count="1">
            <x v="153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"/>
          </reference>
          <reference field="2" count="2">
            <x v="153"/>
            <x v="154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1"/>
          </reference>
          <reference field="2" count="1">
            <x v="1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9A683-789D-4E8F-A0BB-5EF1F8EF75F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:P100" firstHeaderRow="1" firstDataRow="3" firstDataCol="2"/>
  <pivotFields count="4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94">
        <item x="81"/>
        <item x="0"/>
        <item x="1"/>
        <item x="2"/>
        <item x="3"/>
        <item x="4"/>
        <item x="5"/>
        <item x="79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8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88"/>
        <item x="33"/>
        <item x="83"/>
        <item x="34"/>
        <item x="91"/>
        <item x="84"/>
        <item x="35"/>
        <item x="36"/>
        <item x="37"/>
        <item x="38"/>
        <item x="39"/>
        <item x="40"/>
        <item x="41"/>
        <item x="89"/>
        <item x="42"/>
        <item x="43"/>
        <item x="44"/>
        <item x="45"/>
        <item x="80"/>
        <item x="46"/>
        <item x="47"/>
        <item x="48"/>
        <item x="49"/>
        <item x="50"/>
        <item x="51"/>
        <item x="85"/>
        <item x="52"/>
        <item x="53"/>
        <item x="92"/>
        <item x="54"/>
        <item x="86"/>
        <item x="55"/>
        <item x="56"/>
        <item x="87"/>
        <item x="57"/>
        <item x="58"/>
        <item x="59"/>
        <item x="60"/>
        <item x="61"/>
        <item x="62"/>
        <item x="63"/>
        <item x="64"/>
        <item x="65"/>
        <item x="66"/>
        <item x="90"/>
        <item x="67"/>
        <item x="68"/>
        <item x="69"/>
        <item x="70"/>
        <item x="71"/>
        <item x="72"/>
        <item x="73"/>
        <item x="74"/>
        <item x="75"/>
        <item x="76"/>
        <item x="77"/>
        <item x="93"/>
        <item x="78"/>
      </items>
    </pivotField>
    <pivotField axis="axisCol" dataField="1" compact="0" outline="0" showAll="0" defaultSubtotal="0">
      <items count="5">
        <item x="0"/>
        <item x="1"/>
        <item x="2"/>
        <item x="4"/>
        <item x="3"/>
      </items>
    </pivotField>
    <pivotField axis="axisCol" compact="0" outline="0" showAll="0" defaultSubtotal="0">
      <items count="2">
        <item x="1"/>
        <item x="0"/>
      </items>
    </pivotField>
  </pivotFields>
  <rowFields count="2">
    <field x="0"/>
    <field x="1"/>
  </rowFields>
  <rowItems count="97">
    <i>
      <x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9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5"/>
    </i>
    <i r="1">
      <x v="67"/>
    </i>
    <i r="1">
      <x v="68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3"/>
    </i>
    <i>
      <x v="1"/>
      <x v="7"/>
    </i>
    <i r="1">
      <x v="54"/>
    </i>
    <i>
      <x v="2"/>
      <x/>
    </i>
    <i>
      <x v="3"/>
      <x v="21"/>
    </i>
    <i r="1">
      <x v="38"/>
    </i>
    <i>
      <x v="4"/>
      <x v="41"/>
    </i>
    <i r="1">
      <x v="61"/>
    </i>
    <i>
      <x v="5"/>
      <x v="66"/>
    </i>
    <i r="1">
      <x v="69"/>
    </i>
    <i>
      <x v="6"/>
      <x v="36"/>
    </i>
    <i r="1">
      <x v="49"/>
    </i>
    <i r="1">
      <x v="80"/>
    </i>
    <i>
      <x v="7"/>
      <x/>
    </i>
    <i>
      <x v="8"/>
      <x v="40"/>
    </i>
    <i r="1">
      <x v="64"/>
    </i>
    <i r="1">
      <x v="92"/>
    </i>
    <i>
      <x v="9"/>
      <x/>
    </i>
    <i t="grand">
      <x/>
    </i>
  </rowItems>
  <colFields count="2">
    <field x="3"/>
    <field x="2"/>
  </colFields>
  <colItems count="9">
    <i>
      <x/>
      <x/>
    </i>
    <i r="1">
      <x v="1"/>
    </i>
    <i r="1">
      <x v="3"/>
    </i>
    <i>
      <x v="1"/>
      <x/>
    </i>
    <i r="1">
      <x v="1"/>
    </i>
    <i r="1">
      <x v="2"/>
    </i>
    <i r="1">
      <x v="3"/>
    </i>
    <i r="1">
      <x v="4"/>
    </i>
    <i t="grand">
      <x/>
    </i>
  </colItems>
  <dataFields count="1">
    <dataField name="Count of clade" fld="2" subtotal="count" baseField="0" baseItem="0"/>
  </dataFields>
  <formats count="28">
    <format dxfId="27">
      <pivotArea outline="0" collapsedLevelsAreSubtotals="1" fieldPosition="0"/>
    </format>
    <format dxfId="26">
      <pivotArea field="3" type="button" dataOnly="0" labelOnly="1" outline="0" axis="axisCol" fieldPosition="0"/>
    </format>
    <format dxfId="25">
      <pivotArea field="2" type="button" dataOnly="0" labelOnly="1" outline="0" axis="axisCol" fieldPosition="1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dataOnly="0" labelOnly="1" grandCol="1" outline="0" fieldPosition="0"/>
    </format>
    <format dxfId="21">
      <pivotArea dataOnly="0" labelOnly="1" outline="0" fieldPosition="0">
        <references count="2">
          <reference field="2" count="3">
            <x v="0"/>
            <x v="1"/>
            <x v="3"/>
          </reference>
          <reference field="3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2" count="0"/>
          <reference field="3" count="1" selected="0">
            <x v="1"/>
          </reference>
        </references>
      </pivotArea>
    </format>
    <format dxfId="19">
      <pivotArea outline="0" fieldPosition="0">
        <references count="2">
          <reference field="2" count="0" selected="0"/>
          <reference field="3" count="1" selected="0">
            <x v="1"/>
          </reference>
        </references>
      </pivotArea>
    </format>
    <format dxfId="18">
      <pivotArea type="topRight" dataOnly="0" labelOnly="1" outline="0" offset="B1:E1" fieldPosition="0"/>
    </format>
    <format dxfId="17">
      <pivotArea dataOnly="0" labelOnly="1" outline="0" fieldPosition="0">
        <references count="1">
          <reference field="3" count="1">
            <x v="1"/>
          </reference>
        </references>
      </pivotArea>
    </format>
    <format dxfId="16">
      <pivotArea dataOnly="0" labelOnly="1" outline="0" fieldPosition="0">
        <references count="2">
          <reference field="2" count="0"/>
          <reference field="3" count="1" selected="0">
            <x v="1"/>
          </reference>
        </references>
      </pivotArea>
    </format>
    <format dxfId="15">
      <pivotArea outline="0" fieldPosition="0">
        <references count="2">
          <reference field="2" count="0" selected="0"/>
          <reference field="3" count="1" selected="0">
            <x v="1"/>
          </reference>
        </references>
      </pivotArea>
    </format>
    <format dxfId="14">
      <pivotArea type="topRight" dataOnly="0" labelOnly="1" outline="0" offset="B1:E1" fieldPosition="0"/>
    </format>
    <format dxfId="13">
      <pivotArea dataOnly="0" labelOnly="1" outline="0" fieldPosition="0">
        <references count="1">
          <reference field="3" count="1">
            <x v="1"/>
          </reference>
        </references>
      </pivotArea>
    </format>
    <format dxfId="12">
      <pivotArea dataOnly="0" labelOnly="1" outline="0" fieldPosition="0">
        <references count="2">
          <reference field="2" count="0"/>
          <reference field="3" count="1" selected="0">
            <x v="1"/>
          </reference>
        </references>
      </pivotArea>
    </format>
    <format dxfId="11">
      <pivotArea outline="0" fieldPosition="0">
        <references count="2">
          <reference field="2" count="3" selected="0">
            <x v="0"/>
            <x v="1"/>
            <x v="3"/>
          </reference>
          <reference field="3" count="1" selected="0">
            <x v="0"/>
          </reference>
        </references>
      </pivotArea>
    </format>
    <format dxfId="10">
      <pivotArea field="3" type="button" dataOnly="0" labelOnly="1" outline="0" axis="axisCol" fieldPosition="0"/>
    </format>
    <format dxfId="9">
      <pivotArea field="2" type="button" dataOnly="0" labelOnly="1" outline="0" axis="axisCol" fieldPosition="1"/>
    </format>
    <format dxfId="8">
      <pivotArea type="topRight" dataOnly="0" labelOnly="1" outline="0" offset="A1" fieldPosition="0"/>
    </format>
    <format dxfId="7">
      <pivotArea dataOnly="0" labelOnly="1" outline="0" fieldPosition="0">
        <references count="1">
          <reference field="3" count="1">
            <x v="0"/>
          </reference>
        </references>
      </pivotArea>
    </format>
    <format dxfId="6">
      <pivotArea dataOnly="0" labelOnly="1" outline="0" fieldPosition="0">
        <references count="2">
          <reference field="2" count="3">
            <x v="0"/>
            <x v="1"/>
            <x v="3"/>
          </reference>
          <reference field="3" count="1" selected="0">
            <x v="0"/>
          </reference>
        </references>
      </pivotArea>
    </format>
    <format dxfId="5">
      <pivotArea outline="0" fieldPosition="0">
        <references count="2">
          <reference field="2" count="3" selected="0">
            <x v="0"/>
            <x v="1"/>
            <x v="3"/>
          </reference>
          <reference field="3" count="1" selected="0">
            <x v="0"/>
          </reference>
        </references>
      </pivotArea>
    </format>
    <format dxfId="4">
      <pivotArea field="3" type="button" dataOnly="0" labelOnly="1" outline="0" axis="axisCol" fieldPosition="0"/>
    </format>
    <format dxfId="3">
      <pivotArea field="2" type="button" dataOnly="0" labelOnly="1" outline="0" axis="axisCol" fieldPosition="1"/>
    </format>
    <format dxfId="2">
      <pivotArea type="topRight" dataOnly="0" labelOnly="1" outline="0" offset="A1" fieldPosition="0"/>
    </format>
    <format dxfId="1">
      <pivotArea dataOnly="0" labelOnly="1" outline="0" fieldPosition="0">
        <references count="1">
          <reference field="3" count="1">
            <x v="0"/>
          </reference>
        </references>
      </pivotArea>
    </format>
    <format dxfId="0">
      <pivotArea dataOnly="0" labelOnly="1" outline="0" fieldPosition="0">
        <references count="2">
          <reference field="2" count="3">
            <x v="0"/>
            <x v="1"/>
            <x v="3"/>
          </reference>
          <reference field="3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7554/eLife.82762" TargetMode="External"/><Relationship Id="rId1" Type="http://schemas.openxmlformats.org/officeDocument/2006/relationships/hyperlink" Target="https://onlinelibrary.wiley.com/doi/10.1111/1744-7917.1325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C730-45C7-451C-8FDD-5565D46D23C0}">
  <sheetPr>
    <tabColor theme="3" tint="0.89999084444715716"/>
  </sheetPr>
  <dimension ref="A1:B6"/>
  <sheetViews>
    <sheetView tabSelected="1" workbookViewId="0">
      <selection activeCell="A7" sqref="A7"/>
    </sheetView>
  </sheetViews>
  <sheetFormatPr defaultRowHeight="15.75" x14ac:dyDescent="0.25"/>
  <cols>
    <col min="1" max="1" width="20.375" customWidth="1"/>
  </cols>
  <sheetData>
    <row r="1" spans="1:2" x14ac:dyDescent="0.25">
      <c r="A1" t="s">
        <v>597</v>
      </c>
    </row>
    <row r="3" spans="1:2" x14ac:dyDescent="0.25">
      <c r="A3" t="s">
        <v>598</v>
      </c>
      <c r="B3" t="s">
        <v>599</v>
      </c>
    </row>
    <row r="4" spans="1:2" x14ac:dyDescent="0.25">
      <c r="A4" t="s">
        <v>600</v>
      </c>
      <c r="B4" t="s">
        <v>601</v>
      </c>
    </row>
    <row r="5" spans="1:2" x14ac:dyDescent="0.25">
      <c r="A5" t="s">
        <v>602</v>
      </c>
      <c r="B5" t="s">
        <v>603</v>
      </c>
    </row>
    <row r="6" spans="1:2" x14ac:dyDescent="0.25">
      <c r="A6" t="s">
        <v>604</v>
      </c>
      <c r="B6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8BE8-0D28-431D-9149-24A9A99779D2}">
  <sheetPr>
    <tabColor theme="3" tint="0.89999084444715716"/>
  </sheetPr>
  <dimension ref="A1:N670"/>
  <sheetViews>
    <sheetView topLeftCell="D572" workbookViewId="0">
      <selection activeCell="H627" sqref="H627"/>
    </sheetView>
  </sheetViews>
  <sheetFormatPr defaultRowHeight="15.75" x14ac:dyDescent="0.25"/>
  <cols>
    <col min="1" max="1" width="17.5" customWidth="1"/>
    <col min="2" max="2" width="21" style="14" customWidth="1"/>
    <col min="3" max="3" width="18.125" customWidth="1"/>
    <col min="4" max="4" width="15.375" customWidth="1"/>
    <col min="5" max="5" width="18" customWidth="1"/>
    <col min="6" max="6" width="23.5" customWidth="1"/>
    <col min="7" max="7" width="12.875" customWidth="1"/>
    <col min="8" max="8" width="17.75" customWidth="1"/>
    <col min="9" max="9" width="9" style="14"/>
    <col min="10" max="10" width="50" customWidth="1"/>
    <col min="11" max="11" width="53.5" customWidth="1"/>
    <col min="12" max="12" width="39" customWidth="1"/>
    <col min="13" max="13" width="49.75" customWidth="1"/>
  </cols>
  <sheetData>
    <row r="1" spans="1:14" x14ac:dyDescent="0.25">
      <c r="A1" s="1" t="s">
        <v>99</v>
      </c>
      <c r="B1" s="17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69</v>
      </c>
      <c r="H1" s="1" t="s">
        <v>105</v>
      </c>
      <c r="I1" s="17" t="s">
        <v>106</v>
      </c>
      <c r="J1" s="1" t="s">
        <v>164</v>
      </c>
      <c r="K1" s="1" t="s">
        <v>165</v>
      </c>
      <c r="L1" s="1" t="s">
        <v>107</v>
      </c>
      <c r="M1" s="1" t="s">
        <v>108</v>
      </c>
      <c r="N1" s="1" t="s">
        <v>109</v>
      </c>
    </row>
    <row r="2" spans="1:14" x14ac:dyDescent="0.25">
      <c r="A2" t="s">
        <v>98</v>
      </c>
      <c r="B2" s="14" t="s">
        <v>111</v>
      </c>
      <c r="C2" t="s">
        <v>166</v>
      </c>
      <c r="D2" t="s">
        <v>98</v>
      </c>
      <c r="E2" t="s">
        <v>166</v>
      </c>
      <c r="F2" t="s">
        <v>166</v>
      </c>
      <c r="G2" t="s">
        <v>98</v>
      </c>
      <c r="H2" s="2" t="s">
        <v>112</v>
      </c>
      <c r="I2" s="14">
        <v>2024</v>
      </c>
      <c r="J2" t="s">
        <v>167</v>
      </c>
      <c r="K2" s="21" t="s">
        <v>168</v>
      </c>
      <c r="L2" t="s">
        <v>114</v>
      </c>
      <c r="M2" s="19"/>
    </row>
    <row r="3" spans="1:14" x14ac:dyDescent="0.25">
      <c r="A3" t="s">
        <v>98</v>
      </c>
      <c r="B3" s="14" t="s">
        <v>98</v>
      </c>
      <c r="C3" t="s">
        <v>169</v>
      </c>
      <c r="D3" t="s">
        <v>98</v>
      </c>
      <c r="E3" t="s">
        <v>169</v>
      </c>
      <c r="F3" t="s">
        <v>169</v>
      </c>
      <c r="G3" t="s">
        <v>98</v>
      </c>
      <c r="H3" s="2" t="s">
        <v>112</v>
      </c>
      <c r="I3" s="14">
        <v>2024</v>
      </c>
      <c r="J3" t="s">
        <v>167</v>
      </c>
      <c r="K3" s="21" t="s">
        <v>168</v>
      </c>
      <c r="L3" t="s">
        <v>114</v>
      </c>
    </row>
    <row r="4" spans="1:14" x14ac:dyDescent="0.25">
      <c r="A4" t="s">
        <v>57</v>
      </c>
      <c r="B4" s="14" t="s">
        <v>58</v>
      </c>
      <c r="C4" t="s">
        <v>170</v>
      </c>
      <c r="D4" t="s">
        <v>57</v>
      </c>
      <c r="E4" t="s">
        <v>170</v>
      </c>
      <c r="F4" t="s">
        <v>170</v>
      </c>
      <c r="G4" t="s">
        <v>1</v>
      </c>
      <c r="H4" s="2" t="s">
        <v>112</v>
      </c>
      <c r="I4" s="14">
        <v>2024</v>
      </c>
      <c r="J4" t="s">
        <v>167</v>
      </c>
      <c r="K4" s="21" t="s">
        <v>168</v>
      </c>
      <c r="L4" t="s">
        <v>114</v>
      </c>
    </row>
    <row r="5" spans="1:14" x14ac:dyDescent="0.25">
      <c r="A5" t="s">
        <v>52</v>
      </c>
      <c r="B5" s="14" t="s">
        <v>52</v>
      </c>
      <c r="C5" t="s">
        <v>171</v>
      </c>
      <c r="D5" t="s">
        <v>52</v>
      </c>
      <c r="E5" t="s">
        <v>171</v>
      </c>
      <c r="F5" t="s">
        <v>171</v>
      </c>
      <c r="G5" t="s">
        <v>1</v>
      </c>
      <c r="H5" s="2" t="s">
        <v>112</v>
      </c>
      <c r="I5" s="14">
        <v>2024</v>
      </c>
      <c r="J5" t="s">
        <v>167</v>
      </c>
      <c r="K5" s="21" t="s">
        <v>168</v>
      </c>
      <c r="L5" t="s">
        <v>114</v>
      </c>
    </row>
    <row r="6" spans="1:14" x14ac:dyDescent="0.25">
      <c r="A6" t="s">
        <v>5</v>
      </c>
      <c r="B6" s="14" t="s">
        <v>50</v>
      </c>
      <c r="C6" t="s">
        <v>172</v>
      </c>
      <c r="D6" t="s">
        <v>5</v>
      </c>
      <c r="E6" t="s">
        <v>172</v>
      </c>
      <c r="F6" t="s">
        <v>172</v>
      </c>
      <c r="G6" t="s">
        <v>1</v>
      </c>
      <c r="H6" s="2" t="s">
        <v>112</v>
      </c>
      <c r="I6" s="14">
        <v>2024</v>
      </c>
      <c r="J6" t="s">
        <v>167</v>
      </c>
      <c r="K6" s="21" t="s">
        <v>168</v>
      </c>
      <c r="L6" t="s">
        <v>114</v>
      </c>
    </row>
    <row r="7" spans="1:14" x14ac:dyDescent="0.25">
      <c r="A7" t="s">
        <v>5</v>
      </c>
      <c r="B7" s="14" t="s">
        <v>50</v>
      </c>
      <c r="C7" t="s">
        <v>173</v>
      </c>
      <c r="D7" t="s">
        <v>5</v>
      </c>
      <c r="E7" t="s">
        <v>173</v>
      </c>
      <c r="F7" t="s">
        <v>173</v>
      </c>
      <c r="G7" t="s">
        <v>1</v>
      </c>
      <c r="H7" s="2" t="s">
        <v>112</v>
      </c>
      <c r="I7" s="14">
        <v>2024</v>
      </c>
      <c r="J7" t="s">
        <v>167</v>
      </c>
      <c r="K7" s="21" t="s">
        <v>168</v>
      </c>
      <c r="L7" t="s">
        <v>114</v>
      </c>
    </row>
    <row r="8" spans="1:14" x14ac:dyDescent="0.25">
      <c r="A8" t="s">
        <v>5</v>
      </c>
      <c r="B8" s="14" t="s">
        <v>50</v>
      </c>
      <c r="C8" t="s">
        <v>174</v>
      </c>
      <c r="D8" t="s">
        <v>5</v>
      </c>
      <c r="E8" t="s">
        <v>174</v>
      </c>
      <c r="F8" t="s">
        <v>174</v>
      </c>
      <c r="G8" t="s">
        <v>1</v>
      </c>
      <c r="H8" s="2" t="s">
        <v>112</v>
      </c>
      <c r="I8" s="14">
        <v>2024</v>
      </c>
      <c r="J8" t="s">
        <v>167</v>
      </c>
      <c r="K8" s="21" t="s">
        <v>168</v>
      </c>
      <c r="L8" t="s">
        <v>114</v>
      </c>
    </row>
    <row r="9" spans="1:14" x14ac:dyDescent="0.25">
      <c r="A9" t="s">
        <v>5</v>
      </c>
      <c r="B9" s="14" t="s">
        <v>38</v>
      </c>
      <c r="C9" t="s">
        <v>175</v>
      </c>
      <c r="D9" t="s">
        <v>38</v>
      </c>
      <c r="E9" t="s">
        <v>175</v>
      </c>
      <c r="F9" t="s">
        <v>175</v>
      </c>
      <c r="G9" t="s">
        <v>0</v>
      </c>
      <c r="H9" s="2" t="s">
        <v>112</v>
      </c>
      <c r="I9" s="14">
        <v>2024</v>
      </c>
      <c r="J9" t="s">
        <v>167</v>
      </c>
      <c r="K9" s="21" t="s">
        <v>168</v>
      </c>
      <c r="L9" t="s">
        <v>114</v>
      </c>
    </row>
    <row r="10" spans="1:14" x14ac:dyDescent="0.25">
      <c r="A10" t="s">
        <v>5</v>
      </c>
      <c r="B10" s="14" t="s">
        <v>38</v>
      </c>
      <c r="C10" t="s">
        <v>176</v>
      </c>
      <c r="D10" t="s">
        <v>38</v>
      </c>
      <c r="E10" t="s">
        <v>176</v>
      </c>
      <c r="F10" t="s">
        <v>176</v>
      </c>
      <c r="G10" t="s">
        <v>0</v>
      </c>
      <c r="H10" s="2" t="s">
        <v>112</v>
      </c>
      <c r="I10" s="14">
        <v>2024</v>
      </c>
      <c r="J10" t="s">
        <v>167</v>
      </c>
      <c r="K10" s="21" t="s">
        <v>168</v>
      </c>
      <c r="L10" t="s">
        <v>114</v>
      </c>
    </row>
    <row r="11" spans="1:14" x14ac:dyDescent="0.25">
      <c r="A11" t="s">
        <v>5</v>
      </c>
      <c r="B11" s="14" t="s">
        <v>38</v>
      </c>
      <c r="C11" t="s">
        <v>177</v>
      </c>
      <c r="D11" t="s">
        <v>38</v>
      </c>
      <c r="E11" t="s">
        <v>177</v>
      </c>
      <c r="F11" t="s">
        <v>177</v>
      </c>
      <c r="G11" t="s">
        <v>0</v>
      </c>
      <c r="H11" s="2" t="s">
        <v>112</v>
      </c>
      <c r="I11" s="14">
        <v>2024</v>
      </c>
      <c r="J11" t="s">
        <v>167</v>
      </c>
      <c r="K11" s="21" t="s">
        <v>168</v>
      </c>
      <c r="L11" t="s">
        <v>114</v>
      </c>
    </row>
    <row r="12" spans="1:14" x14ac:dyDescent="0.25">
      <c r="A12" t="s">
        <v>5</v>
      </c>
      <c r="B12" s="14" t="s">
        <v>38</v>
      </c>
      <c r="C12" t="s">
        <v>178</v>
      </c>
      <c r="D12" t="s">
        <v>38</v>
      </c>
      <c r="E12" t="s">
        <v>178</v>
      </c>
      <c r="F12" t="s">
        <v>178</v>
      </c>
      <c r="G12" t="s">
        <v>0</v>
      </c>
      <c r="H12" s="2" t="s">
        <v>112</v>
      </c>
      <c r="I12" s="14">
        <v>2024</v>
      </c>
      <c r="J12" t="s">
        <v>167</v>
      </c>
      <c r="K12" s="21" t="s">
        <v>168</v>
      </c>
      <c r="L12" t="s">
        <v>114</v>
      </c>
    </row>
    <row r="13" spans="1:14" x14ac:dyDescent="0.25">
      <c r="A13" t="s">
        <v>5</v>
      </c>
      <c r="B13" s="14" t="s">
        <v>38</v>
      </c>
      <c r="C13" t="s">
        <v>179</v>
      </c>
      <c r="D13" t="s">
        <v>38</v>
      </c>
      <c r="E13" t="s">
        <v>179</v>
      </c>
      <c r="F13" t="s">
        <v>179</v>
      </c>
      <c r="G13" t="s">
        <v>0</v>
      </c>
      <c r="H13" s="2" t="s">
        <v>112</v>
      </c>
      <c r="I13" s="14">
        <v>2024</v>
      </c>
      <c r="J13" t="s">
        <v>167</v>
      </c>
      <c r="K13" s="21" t="s">
        <v>168</v>
      </c>
      <c r="L13" t="s">
        <v>114</v>
      </c>
    </row>
    <row r="14" spans="1:14" x14ac:dyDescent="0.25">
      <c r="A14" t="s">
        <v>5</v>
      </c>
      <c r="B14" s="14" t="s">
        <v>12</v>
      </c>
      <c r="C14" t="s">
        <v>180</v>
      </c>
      <c r="D14" t="s">
        <v>12</v>
      </c>
      <c r="E14" t="s">
        <v>180</v>
      </c>
      <c r="F14" t="s">
        <v>180</v>
      </c>
      <c r="G14" t="s">
        <v>0</v>
      </c>
      <c r="H14" s="2" t="s">
        <v>112</v>
      </c>
      <c r="I14" s="14">
        <v>2024</v>
      </c>
      <c r="J14" t="s">
        <v>167</v>
      </c>
      <c r="K14" s="21" t="s">
        <v>168</v>
      </c>
      <c r="L14" t="s">
        <v>114</v>
      </c>
    </row>
    <row r="15" spans="1:14" x14ac:dyDescent="0.25">
      <c r="A15" t="s">
        <v>5</v>
      </c>
      <c r="B15" s="14" t="s">
        <v>12</v>
      </c>
      <c r="C15" t="s">
        <v>181</v>
      </c>
      <c r="D15" t="s">
        <v>12</v>
      </c>
      <c r="E15" t="s">
        <v>181</v>
      </c>
      <c r="F15" t="s">
        <v>181</v>
      </c>
      <c r="G15" t="s">
        <v>0</v>
      </c>
      <c r="H15" s="2" t="s">
        <v>112</v>
      </c>
      <c r="I15" s="14">
        <v>2024</v>
      </c>
      <c r="J15" t="s">
        <v>167</v>
      </c>
      <c r="K15" s="21" t="s">
        <v>168</v>
      </c>
      <c r="L15" t="s">
        <v>114</v>
      </c>
    </row>
    <row r="16" spans="1:14" x14ac:dyDescent="0.25">
      <c r="A16" t="s">
        <v>5</v>
      </c>
      <c r="B16" s="14" t="s">
        <v>38</v>
      </c>
      <c r="C16" t="s">
        <v>182</v>
      </c>
      <c r="D16" t="s">
        <v>38</v>
      </c>
      <c r="E16" t="s">
        <v>182</v>
      </c>
      <c r="F16" t="s">
        <v>182</v>
      </c>
      <c r="G16" t="s">
        <v>0</v>
      </c>
      <c r="H16" s="2" t="s">
        <v>112</v>
      </c>
      <c r="I16" s="14">
        <v>2024</v>
      </c>
      <c r="J16" t="s">
        <v>167</v>
      </c>
      <c r="K16" s="21" t="s">
        <v>168</v>
      </c>
      <c r="L16" t="s">
        <v>114</v>
      </c>
    </row>
    <row r="17" spans="1:12" x14ac:dyDescent="0.25">
      <c r="A17" t="s">
        <v>5</v>
      </c>
      <c r="B17" s="14" t="s">
        <v>45</v>
      </c>
      <c r="C17" t="s">
        <v>183</v>
      </c>
      <c r="D17" t="s">
        <v>5</v>
      </c>
      <c r="E17" t="s">
        <v>183</v>
      </c>
      <c r="F17" t="s">
        <v>183</v>
      </c>
      <c r="G17" t="s">
        <v>0</v>
      </c>
      <c r="H17" s="2" t="s">
        <v>112</v>
      </c>
      <c r="I17" s="14">
        <v>2024</v>
      </c>
      <c r="J17" t="s">
        <v>167</v>
      </c>
      <c r="K17" s="21" t="s">
        <v>168</v>
      </c>
      <c r="L17" t="s">
        <v>114</v>
      </c>
    </row>
    <row r="18" spans="1:12" x14ac:dyDescent="0.25">
      <c r="A18" t="s">
        <v>5</v>
      </c>
      <c r="B18" s="14" t="s">
        <v>27</v>
      </c>
      <c r="C18" t="s">
        <v>184</v>
      </c>
      <c r="D18" t="s">
        <v>5</v>
      </c>
      <c r="E18" t="s">
        <v>184</v>
      </c>
      <c r="F18" t="s">
        <v>184</v>
      </c>
      <c r="G18" t="s">
        <v>0</v>
      </c>
      <c r="H18" s="2" t="s">
        <v>112</v>
      </c>
      <c r="I18" s="14">
        <v>2024</v>
      </c>
      <c r="J18" t="s">
        <v>167</v>
      </c>
      <c r="K18" s="21" t="s">
        <v>168</v>
      </c>
      <c r="L18" t="s">
        <v>114</v>
      </c>
    </row>
    <row r="19" spans="1:12" x14ac:dyDescent="0.25">
      <c r="A19" t="s">
        <v>5</v>
      </c>
      <c r="B19" s="14" t="s">
        <v>35</v>
      </c>
      <c r="C19" t="s">
        <v>185</v>
      </c>
      <c r="D19" t="s">
        <v>5</v>
      </c>
      <c r="E19" t="s">
        <v>185</v>
      </c>
      <c r="F19" t="s">
        <v>185</v>
      </c>
      <c r="G19" t="s">
        <v>0</v>
      </c>
      <c r="H19" s="2" t="s">
        <v>112</v>
      </c>
      <c r="I19" s="14">
        <v>2024</v>
      </c>
      <c r="J19" t="s">
        <v>167</v>
      </c>
      <c r="K19" s="21" t="s">
        <v>168</v>
      </c>
      <c r="L19" t="s">
        <v>114</v>
      </c>
    </row>
    <row r="20" spans="1:12" x14ac:dyDescent="0.25">
      <c r="A20" t="s">
        <v>5</v>
      </c>
      <c r="B20" s="14" t="s">
        <v>17</v>
      </c>
      <c r="C20" t="s">
        <v>186</v>
      </c>
      <c r="D20" t="s">
        <v>5</v>
      </c>
      <c r="E20" t="s">
        <v>186</v>
      </c>
      <c r="F20" t="s">
        <v>186</v>
      </c>
      <c r="G20" t="s">
        <v>0</v>
      </c>
      <c r="H20" s="2" t="s">
        <v>112</v>
      </c>
      <c r="I20" s="14">
        <v>2024</v>
      </c>
      <c r="J20" t="s">
        <v>167</v>
      </c>
      <c r="K20" s="21" t="s">
        <v>168</v>
      </c>
      <c r="L20" t="s">
        <v>114</v>
      </c>
    </row>
    <row r="21" spans="1:12" x14ac:dyDescent="0.25">
      <c r="A21" t="s">
        <v>5</v>
      </c>
      <c r="B21" s="14" t="s">
        <v>17</v>
      </c>
      <c r="C21" t="s">
        <v>187</v>
      </c>
      <c r="D21" t="s">
        <v>5</v>
      </c>
      <c r="E21" t="s">
        <v>187</v>
      </c>
      <c r="F21" t="s">
        <v>187</v>
      </c>
      <c r="G21" t="s">
        <v>0</v>
      </c>
      <c r="H21" s="2" t="s">
        <v>112</v>
      </c>
      <c r="I21" s="14">
        <v>2024</v>
      </c>
      <c r="J21" t="s">
        <v>167</v>
      </c>
      <c r="K21" s="21" t="s">
        <v>168</v>
      </c>
      <c r="L21" t="s">
        <v>114</v>
      </c>
    </row>
    <row r="22" spans="1:12" x14ac:dyDescent="0.25">
      <c r="A22" t="s">
        <v>5</v>
      </c>
      <c r="B22" s="14" t="s">
        <v>28</v>
      </c>
      <c r="C22" t="s">
        <v>188</v>
      </c>
      <c r="D22" t="s">
        <v>5</v>
      </c>
      <c r="E22" t="s">
        <v>188</v>
      </c>
      <c r="F22" t="s">
        <v>188</v>
      </c>
      <c r="G22" t="s">
        <v>0</v>
      </c>
      <c r="H22" s="2" t="s">
        <v>112</v>
      </c>
      <c r="I22" s="14">
        <v>2024</v>
      </c>
      <c r="J22" t="s">
        <v>167</v>
      </c>
      <c r="K22" s="21" t="s">
        <v>168</v>
      </c>
      <c r="L22" t="s">
        <v>114</v>
      </c>
    </row>
    <row r="23" spans="1:12" x14ac:dyDescent="0.25">
      <c r="A23" t="s">
        <v>5</v>
      </c>
      <c r="B23" s="14" t="s">
        <v>36</v>
      </c>
      <c r="C23" t="s">
        <v>189</v>
      </c>
      <c r="D23" t="s">
        <v>5</v>
      </c>
      <c r="E23" t="s">
        <v>189</v>
      </c>
      <c r="F23" t="s">
        <v>189</v>
      </c>
      <c r="G23" t="s">
        <v>0</v>
      </c>
      <c r="H23" s="2" t="s">
        <v>112</v>
      </c>
      <c r="I23" s="14">
        <v>2024</v>
      </c>
      <c r="J23" t="s">
        <v>167</v>
      </c>
      <c r="K23" s="21" t="s">
        <v>168</v>
      </c>
      <c r="L23" t="s">
        <v>114</v>
      </c>
    </row>
    <row r="24" spans="1:12" x14ac:dyDescent="0.25">
      <c r="A24" t="s">
        <v>55</v>
      </c>
      <c r="B24" s="14" t="s">
        <v>56</v>
      </c>
      <c r="C24" t="s">
        <v>190</v>
      </c>
      <c r="D24" t="s">
        <v>55</v>
      </c>
      <c r="E24" t="s">
        <v>190</v>
      </c>
      <c r="F24" t="s">
        <v>190</v>
      </c>
      <c r="G24" t="s">
        <v>0</v>
      </c>
      <c r="H24" s="2" t="s">
        <v>112</v>
      </c>
      <c r="I24" s="14">
        <v>2024</v>
      </c>
      <c r="J24" t="s">
        <v>167</v>
      </c>
      <c r="K24" s="21" t="s">
        <v>168</v>
      </c>
      <c r="L24" t="s">
        <v>114</v>
      </c>
    </row>
    <row r="25" spans="1:12" x14ac:dyDescent="0.25">
      <c r="A25" t="s">
        <v>55</v>
      </c>
      <c r="B25" s="14" t="s">
        <v>55</v>
      </c>
      <c r="C25" t="s">
        <v>191</v>
      </c>
      <c r="D25" t="s">
        <v>55</v>
      </c>
      <c r="E25" t="s">
        <v>191</v>
      </c>
      <c r="F25" t="s">
        <v>191</v>
      </c>
      <c r="G25" t="s">
        <v>0</v>
      </c>
      <c r="H25" s="2" t="s">
        <v>112</v>
      </c>
      <c r="I25" s="14">
        <v>2024</v>
      </c>
      <c r="J25" t="s">
        <v>167</v>
      </c>
      <c r="K25" s="21" t="s">
        <v>168</v>
      </c>
      <c r="L25" t="s">
        <v>114</v>
      </c>
    </row>
    <row r="26" spans="1:12" x14ac:dyDescent="0.25">
      <c r="A26" t="s">
        <v>55</v>
      </c>
      <c r="B26" s="14" t="s">
        <v>55</v>
      </c>
      <c r="C26" t="s">
        <v>192</v>
      </c>
      <c r="D26" t="s">
        <v>55</v>
      </c>
      <c r="E26" t="s">
        <v>192</v>
      </c>
      <c r="F26" t="s">
        <v>192</v>
      </c>
      <c r="G26" t="s">
        <v>0</v>
      </c>
      <c r="H26" s="2" t="s">
        <v>112</v>
      </c>
      <c r="I26" s="14">
        <v>2024</v>
      </c>
      <c r="J26" t="s">
        <v>167</v>
      </c>
      <c r="K26" s="21" t="s">
        <v>168</v>
      </c>
      <c r="L26" t="s">
        <v>114</v>
      </c>
    </row>
    <row r="27" spans="1:12" x14ac:dyDescent="0.25">
      <c r="A27" t="s">
        <v>55</v>
      </c>
      <c r="B27" s="14" t="s">
        <v>55</v>
      </c>
      <c r="C27" t="s">
        <v>193</v>
      </c>
      <c r="D27" t="s">
        <v>55</v>
      </c>
      <c r="E27" t="s">
        <v>193</v>
      </c>
      <c r="F27" t="s">
        <v>193</v>
      </c>
      <c r="G27" t="s">
        <v>0</v>
      </c>
      <c r="H27" s="2" t="s">
        <v>112</v>
      </c>
      <c r="I27" s="14">
        <v>2024</v>
      </c>
      <c r="J27" t="s">
        <v>167</v>
      </c>
      <c r="K27" s="21" t="s">
        <v>168</v>
      </c>
      <c r="L27" t="s">
        <v>114</v>
      </c>
    </row>
    <row r="28" spans="1:12" x14ac:dyDescent="0.25">
      <c r="A28" t="s">
        <v>55</v>
      </c>
      <c r="B28" s="14" t="s">
        <v>55</v>
      </c>
      <c r="C28" t="s">
        <v>194</v>
      </c>
      <c r="D28" t="s">
        <v>55</v>
      </c>
      <c r="E28" t="s">
        <v>194</v>
      </c>
      <c r="F28" t="s">
        <v>194</v>
      </c>
      <c r="G28" t="s">
        <v>0</v>
      </c>
      <c r="H28" s="2" t="s">
        <v>112</v>
      </c>
      <c r="I28" s="14">
        <v>2024</v>
      </c>
      <c r="J28" t="s">
        <v>167</v>
      </c>
      <c r="K28" s="21" t="s">
        <v>168</v>
      </c>
      <c r="L28" t="s">
        <v>114</v>
      </c>
    </row>
    <row r="29" spans="1:12" x14ac:dyDescent="0.25">
      <c r="A29" t="s">
        <v>5</v>
      </c>
      <c r="B29" s="14" t="s">
        <v>38</v>
      </c>
      <c r="C29" t="s">
        <v>178</v>
      </c>
      <c r="D29" t="s">
        <v>38</v>
      </c>
      <c r="E29" t="s">
        <v>178</v>
      </c>
      <c r="F29" t="s">
        <v>178</v>
      </c>
      <c r="G29" t="s">
        <v>0</v>
      </c>
      <c r="H29" s="3" t="s">
        <v>115</v>
      </c>
      <c r="I29" s="14">
        <v>2016</v>
      </c>
      <c r="J29" t="s">
        <v>116</v>
      </c>
      <c r="K29" t="s">
        <v>195</v>
      </c>
      <c r="L29" t="s">
        <v>117</v>
      </c>
    </row>
    <row r="30" spans="1:12" x14ac:dyDescent="0.25">
      <c r="A30" t="s">
        <v>5</v>
      </c>
      <c r="B30" s="14" t="s">
        <v>45</v>
      </c>
      <c r="C30" t="s">
        <v>183</v>
      </c>
      <c r="D30" t="s">
        <v>5</v>
      </c>
      <c r="E30" t="s">
        <v>183</v>
      </c>
      <c r="F30" t="s">
        <v>183</v>
      </c>
      <c r="G30" t="s">
        <v>0</v>
      </c>
      <c r="H30" s="3" t="s">
        <v>115</v>
      </c>
      <c r="I30" s="14">
        <v>2016</v>
      </c>
      <c r="J30" t="s">
        <v>116</v>
      </c>
      <c r="K30" t="s">
        <v>195</v>
      </c>
      <c r="L30" t="s">
        <v>117</v>
      </c>
    </row>
    <row r="31" spans="1:12" x14ac:dyDescent="0.25">
      <c r="A31" t="s">
        <v>55</v>
      </c>
      <c r="B31" s="14" t="s">
        <v>55</v>
      </c>
      <c r="C31" t="s">
        <v>193</v>
      </c>
      <c r="D31" t="s">
        <v>55</v>
      </c>
      <c r="E31" t="s">
        <v>193</v>
      </c>
      <c r="F31" t="s">
        <v>193</v>
      </c>
      <c r="G31" t="s">
        <v>0</v>
      </c>
      <c r="H31" s="3" t="s">
        <v>115</v>
      </c>
      <c r="I31" s="14">
        <v>2016</v>
      </c>
      <c r="J31" t="s">
        <v>116</v>
      </c>
      <c r="K31" t="s">
        <v>195</v>
      </c>
      <c r="L31" t="s">
        <v>117</v>
      </c>
    </row>
    <row r="32" spans="1:12" x14ac:dyDescent="0.25">
      <c r="A32" t="s">
        <v>5</v>
      </c>
      <c r="B32" s="14" t="s">
        <v>50</v>
      </c>
      <c r="C32" t="s">
        <v>172</v>
      </c>
      <c r="D32" t="s">
        <v>5</v>
      </c>
      <c r="E32" t="s">
        <v>172</v>
      </c>
      <c r="F32" t="s">
        <v>172</v>
      </c>
      <c r="G32" t="s">
        <v>1</v>
      </c>
      <c r="H32" s="3" t="s">
        <v>115</v>
      </c>
      <c r="I32" s="14">
        <v>2016</v>
      </c>
      <c r="J32" t="s">
        <v>116</v>
      </c>
      <c r="K32" t="s">
        <v>195</v>
      </c>
      <c r="L32" t="s">
        <v>117</v>
      </c>
    </row>
    <row r="33" spans="1:14" x14ac:dyDescent="0.25">
      <c r="A33" t="s">
        <v>5</v>
      </c>
      <c r="B33" s="14" t="s">
        <v>50</v>
      </c>
      <c r="C33" t="s">
        <v>174</v>
      </c>
      <c r="D33" t="s">
        <v>5</v>
      </c>
      <c r="E33" t="s">
        <v>174</v>
      </c>
      <c r="F33" t="s">
        <v>174</v>
      </c>
      <c r="G33" t="s">
        <v>1</v>
      </c>
      <c r="H33" s="3" t="s">
        <v>115</v>
      </c>
      <c r="I33" s="14">
        <v>2016</v>
      </c>
      <c r="J33" t="s">
        <v>116</v>
      </c>
      <c r="K33" t="s">
        <v>195</v>
      </c>
      <c r="L33" t="s">
        <v>117</v>
      </c>
    </row>
    <row r="34" spans="1:14" x14ac:dyDescent="0.25">
      <c r="A34" t="s">
        <v>98</v>
      </c>
      <c r="B34" s="14" t="s">
        <v>111</v>
      </c>
      <c r="C34" t="s">
        <v>166</v>
      </c>
      <c r="D34" t="s">
        <v>98</v>
      </c>
      <c r="E34" t="s">
        <v>166</v>
      </c>
      <c r="F34" t="s">
        <v>166</v>
      </c>
      <c r="G34" t="s">
        <v>98</v>
      </c>
      <c r="H34" s="12" t="s">
        <v>118</v>
      </c>
      <c r="I34" s="14">
        <v>2009</v>
      </c>
      <c r="J34" t="s">
        <v>119</v>
      </c>
      <c r="K34" t="s">
        <v>196</v>
      </c>
      <c r="L34" t="s">
        <v>120</v>
      </c>
    </row>
    <row r="35" spans="1:14" x14ac:dyDescent="0.25">
      <c r="A35" t="s">
        <v>5</v>
      </c>
      <c r="B35" s="14" t="s">
        <v>44</v>
      </c>
      <c r="C35" t="s">
        <v>197</v>
      </c>
      <c r="D35" t="s">
        <v>38</v>
      </c>
      <c r="E35" t="s">
        <v>197</v>
      </c>
      <c r="F35" t="s">
        <v>197</v>
      </c>
      <c r="G35" t="s">
        <v>0</v>
      </c>
      <c r="H35" s="12" t="s">
        <v>118</v>
      </c>
      <c r="I35" s="14">
        <v>2009</v>
      </c>
      <c r="J35" t="s">
        <v>119</v>
      </c>
      <c r="K35" t="s">
        <v>196</v>
      </c>
      <c r="L35" t="s">
        <v>120</v>
      </c>
      <c r="M35" t="s">
        <v>121</v>
      </c>
    </row>
    <row r="36" spans="1:14" x14ac:dyDescent="0.25">
      <c r="A36" t="s">
        <v>55</v>
      </c>
      <c r="B36" s="14" t="s">
        <v>55</v>
      </c>
      <c r="C36" t="s">
        <v>198</v>
      </c>
      <c r="D36" t="s">
        <v>55</v>
      </c>
      <c r="E36" t="s">
        <v>198</v>
      </c>
      <c r="F36" t="s">
        <v>198</v>
      </c>
      <c r="G36" t="s">
        <v>0</v>
      </c>
      <c r="H36" s="12" t="s">
        <v>118</v>
      </c>
      <c r="I36" s="14">
        <v>2009</v>
      </c>
      <c r="J36" t="s">
        <v>119</v>
      </c>
      <c r="K36" t="s">
        <v>196</v>
      </c>
      <c r="L36" t="s">
        <v>120</v>
      </c>
    </row>
    <row r="37" spans="1:14" x14ac:dyDescent="0.25">
      <c r="A37" t="s">
        <v>59</v>
      </c>
      <c r="B37" s="14" t="s">
        <v>59</v>
      </c>
      <c r="C37" t="s">
        <v>199</v>
      </c>
      <c r="D37" t="s">
        <v>59</v>
      </c>
      <c r="E37" t="s">
        <v>199</v>
      </c>
      <c r="F37" t="s">
        <v>199</v>
      </c>
      <c r="G37" t="s">
        <v>0</v>
      </c>
      <c r="H37" s="12" t="s">
        <v>118</v>
      </c>
      <c r="I37" s="14">
        <v>2009</v>
      </c>
      <c r="J37" t="s">
        <v>119</v>
      </c>
      <c r="K37" t="s">
        <v>196</v>
      </c>
      <c r="L37" t="s">
        <v>120</v>
      </c>
    </row>
    <row r="38" spans="1:14" x14ac:dyDescent="0.25">
      <c r="A38" t="s">
        <v>52</v>
      </c>
      <c r="B38" s="14" t="s">
        <v>52</v>
      </c>
      <c r="C38" t="s">
        <v>171</v>
      </c>
      <c r="D38" t="s">
        <v>52</v>
      </c>
      <c r="E38" t="s">
        <v>171</v>
      </c>
      <c r="F38" t="s">
        <v>171</v>
      </c>
      <c r="G38" t="s">
        <v>0</v>
      </c>
      <c r="H38" s="12" t="s">
        <v>118</v>
      </c>
      <c r="I38" s="14">
        <v>2009</v>
      </c>
      <c r="J38" t="s">
        <v>119</v>
      </c>
      <c r="K38" t="s">
        <v>196</v>
      </c>
      <c r="L38" t="s">
        <v>120</v>
      </c>
      <c r="M38" t="s">
        <v>122</v>
      </c>
      <c r="N38" t="s">
        <v>123</v>
      </c>
    </row>
    <row r="39" spans="1:14" x14ac:dyDescent="0.25">
      <c r="A39" t="s">
        <v>54</v>
      </c>
      <c r="B39" s="14">
        <v>0</v>
      </c>
      <c r="C39" t="s">
        <v>200</v>
      </c>
      <c r="D39" t="s">
        <v>54</v>
      </c>
      <c r="E39" t="s">
        <v>200</v>
      </c>
      <c r="F39" t="s">
        <v>200</v>
      </c>
      <c r="G39" t="s">
        <v>1</v>
      </c>
      <c r="H39" s="12" t="s">
        <v>118</v>
      </c>
      <c r="I39" s="14">
        <v>2009</v>
      </c>
      <c r="J39" t="s">
        <v>119</v>
      </c>
      <c r="K39" t="s">
        <v>196</v>
      </c>
      <c r="L39" t="s">
        <v>120</v>
      </c>
    </row>
    <row r="40" spans="1:14" x14ac:dyDescent="0.25">
      <c r="A40" t="s">
        <v>5</v>
      </c>
      <c r="B40" s="14" t="s">
        <v>50</v>
      </c>
      <c r="C40" t="s">
        <v>172</v>
      </c>
      <c r="D40" t="s">
        <v>5</v>
      </c>
      <c r="E40" t="s">
        <v>172</v>
      </c>
      <c r="F40" t="s">
        <v>172</v>
      </c>
      <c r="G40" t="s">
        <v>1</v>
      </c>
      <c r="H40" s="12" t="s">
        <v>118</v>
      </c>
      <c r="I40" s="14">
        <v>2009</v>
      </c>
      <c r="J40" t="s">
        <v>119</v>
      </c>
      <c r="K40" t="s">
        <v>196</v>
      </c>
      <c r="L40" t="s">
        <v>120</v>
      </c>
    </row>
    <row r="41" spans="1:14" x14ac:dyDescent="0.25">
      <c r="A41" t="s">
        <v>98</v>
      </c>
      <c r="B41" s="14" t="s">
        <v>111</v>
      </c>
      <c r="C41" t="s">
        <v>166</v>
      </c>
      <c r="D41" t="s">
        <v>98</v>
      </c>
      <c r="E41" t="s">
        <v>166</v>
      </c>
      <c r="F41" t="s">
        <v>166</v>
      </c>
      <c r="G41" t="s">
        <v>124</v>
      </c>
      <c r="H41" s="4" t="s">
        <v>125</v>
      </c>
      <c r="I41" s="14">
        <v>2023</v>
      </c>
      <c r="J41" s="18" t="s">
        <v>201</v>
      </c>
      <c r="K41" t="s">
        <v>202</v>
      </c>
      <c r="L41" t="s">
        <v>127</v>
      </c>
      <c r="M41" t="s">
        <v>128</v>
      </c>
    </row>
    <row r="42" spans="1:14" x14ac:dyDescent="0.25">
      <c r="A42" t="s">
        <v>5</v>
      </c>
      <c r="B42" s="14" t="s">
        <v>38</v>
      </c>
      <c r="C42" t="s">
        <v>203</v>
      </c>
      <c r="D42" t="s">
        <v>38</v>
      </c>
      <c r="E42" t="s">
        <v>203</v>
      </c>
      <c r="F42" t="s">
        <v>203</v>
      </c>
      <c r="G42" t="s">
        <v>0</v>
      </c>
      <c r="H42" s="4" t="s">
        <v>125</v>
      </c>
      <c r="I42" s="14">
        <v>2023</v>
      </c>
      <c r="J42" s="18" t="s">
        <v>201</v>
      </c>
      <c r="K42" t="s">
        <v>202</v>
      </c>
      <c r="L42" t="s">
        <v>127</v>
      </c>
      <c r="M42" t="s">
        <v>129</v>
      </c>
    </row>
    <row r="43" spans="1:14" x14ac:dyDescent="0.25">
      <c r="A43" t="s">
        <v>5</v>
      </c>
      <c r="B43" s="14" t="s">
        <v>38</v>
      </c>
      <c r="C43" t="s">
        <v>204</v>
      </c>
      <c r="D43" t="s">
        <v>38</v>
      </c>
      <c r="E43" t="s">
        <v>204</v>
      </c>
      <c r="F43" t="s">
        <v>204</v>
      </c>
      <c r="G43" t="s">
        <v>0</v>
      </c>
      <c r="H43" s="4" t="s">
        <v>125</v>
      </c>
      <c r="I43" s="14">
        <v>2023</v>
      </c>
      <c r="J43" s="18" t="s">
        <v>201</v>
      </c>
      <c r="K43" t="s">
        <v>202</v>
      </c>
      <c r="L43" t="s">
        <v>127</v>
      </c>
    </row>
    <row r="44" spans="1:14" x14ac:dyDescent="0.25">
      <c r="A44" t="s">
        <v>5</v>
      </c>
      <c r="B44" s="14" t="s">
        <v>38</v>
      </c>
      <c r="C44" t="s">
        <v>205</v>
      </c>
      <c r="D44" t="s">
        <v>38</v>
      </c>
      <c r="E44" t="s">
        <v>205</v>
      </c>
      <c r="F44" t="s">
        <v>205</v>
      </c>
      <c r="G44" t="s">
        <v>0</v>
      </c>
      <c r="H44" s="4" t="s">
        <v>125</v>
      </c>
      <c r="I44" s="14">
        <v>2023</v>
      </c>
      <c r="J44" s="18" t="s">
        <v>201</v>
      </c>
      <c r="K44" t="s">
        <v>202</v>
      </c>
      <c r="L44" t="s">
        <v>127</v>
      </c>
    </row>
    <row r="45" spans="1:14" x14ac:dyDescent="0.25">
      <c r="A45" t="s">
        <v>5</v>
      </c>
      <c r="B45" s="14" t="s">
        <v>38</v>
      </c>
      <c r="C45" t="s">
        <v>206</v>
      </c>
      <c r="D45" t="s">
        <v>38</v>
      </c>
      <c r="E45" t="s">
        <v>206</v>
      </c>
      <c r="F45" t="s">
        <v>206</v>
      </c>
      <c r="G45" t="s">
        <v>0</v>
      </c>
      <c r="H45" s="4" t="s">
        <v>125</v>
      </c>
      <c r="I45" s="14">
        <v>2023</v>
      </c>
      <c r="J45" s="18" t="s">
        <v>201</v>
      </c>
      <c r="K45" t="s">
        <v>202</v>
      </c>
      <c r="L45" t="s">
        <v>127</v>
      </c>
    </row>
    <row r="46" spans="1:14" x14ac:dyDescent="0.25">
      <c r="A46" t="s">
        <v>5</v>
      </c>
      <c r="B46" s="14" t="s">
        <v>47</v>
      </c>
      <c r="C46" t="s">
        <v>207</v>
      </c>
      <c r="D46" t="s">
        <v>38</v>
      </c>
      <c r="E46" t="s">
        <v>207</v>
      </c>
      <c r="F46" t="s">
        <v>207</v>
      </c>
      <c r="G46" t="s">
        <v>0</v>
      </c>
      <c r="H46" s="4" t="s">
        <v>125</v>
      </c>
      <c r="I46" s="14">
        <v>2023</v>
      </c>
      <c r="J46" s="18" t="s">
        <v>201</v>
      </c>
      <c r="K46" t="s">
        <v>202</v>
      </c>
      <c r="L46" t="s">
        <v>127</v>
      </c>
    </row>
    <row r="47" spans="1:14" x14ac:dyDescent="0.25">
      <c r="A47" t="s">
        <v>5</v>
      </c>
      <c r="B47" s="14" t="s">
        <v>38</v>
      </c>
      <c r="C47" t="s">
        <v>208</v>
      </c>
      <c r="D47" t="s">
        <v>5</v>
      </c>
      <c r="E47" t="s">
        <v>208</v>
      </c>
      <c r="F47" t="s">
        <v>208</v>
      </c>
      <c r="G47" t="s">
        <v>0</v>
      </c>
      <c r="H47" s="4" t="s">
        <v>125</v>
      </c>
      <c r="I47" s="14">
        <v>2023</v>
      </c>
      <c r="J47" s="18" t="s">
        <v>201</v>
      </c>
      <c r="K47" t="s">
        <v>202</v>
      </c>
      <c r="L47" t="s">
        <v>127</v>
      </c>
    </row>
    <row r="48" spans="1:14" x14ac:dyDescent="0.25">
      <c r="A48" t="s">
        <v>5</v>
      </c>
      <c r="B48" s="14" t="s">
        <v>38</v>
      </c>
      <c r="C48" t="s">
        <v>209</v>
      </c>
      <c r="D48" t="s">
        <v>5</v>
      </c>
      <c r="E48" t="s">
        <v>209</v>
      </c>
      <c r="F48" t="s">
        <v>209</v>
      </c>
      <c r="G48" t="s">
        <v>0</v>
      </c>
      <c r="H48" s="4" t="s">
        <v>125</v>
      </c>
      <c r="I48" s="14">
        <v>2023</v>
      </c>
      <c r="J48" s="18" t="s">
        <v>201</v>
      </c>
      <c r="K48" t="s">
        <v>202</v>
      </c>
      <c r="L48" t="s">
        <v>127</v>
      </c>
    </row>
    <row r="49" spans="1:13" x14ac:dyDescent="0.25">
      <c r="A49" t="s">
        <v>5</v>
      </c>
      <c r="B49" s="14" t="s">
        <v>14</v>
      </c>
      <c r="C49" t="s">
        <v>210</v>
      </c>
      <c r="D49" t="s">
        <v>5</v>
      </c>
      <c r="E49" t="s">
        <v>210</v>
      </c>
      <c r="F49" t="s">
        <v>210</v>
      </c>
      <c r="G49" t="s">
        <v>0</v>
      </c>
      <c r="H49" s="4" t="s">
        <v>125</v>
      </c>
      <c r="I49" s="14">
        <v>2023</v>
      </c>
      <c r="J49" s="18" t="s">
        <v>201</v>
      </c>
      <c r="K49" t="s">
        <v>202</v>
      </c>
      <c r="L49" t="s">
        <v>127</v>
      </c>
    </row>
    <row r="50" spans="1:13" x14ac:dyDescent="0.25">
      <c r="A50" t="s">
        <v>5</v>
      </c>
      <c r="B50" s="14" t="s">
        <v>21</v>
      </c>
      <c r="C50" t="s">
        <v>211</v>
      </c>
      <c r="D50" t="s">
        <v>5</v>
      </c>
      <c r="E50" t="s">
        <v>211</v>
      </c>
      <c r="F50" t="s">
        <v>211</v>
      </c>
      <c r="G50" t="s">
        <v>1</v>
      </c>
      <c r="H50" s="4" t="s">
        <v>125</v>
      </c>
      <c r="I50" s="14">
        <v>2023</v>
      </c>
      <c r="J50" s="18" t="s">
        <v>201</v>
      </c>
      <c r="K50" t="s">
        <v>202</v>
      </c>
      <c r="L50" t="s">
        <v>127</v>
      </c>
    </row>
    <row r="51" spans="1:13" x14ac:dyDescent="0.25">
      <c r="A51" t="s">
        <v>5</v>
      </c>
      <c r="B51" s="14" t="s">
        <v>7</v>
      </c>
      <c r="C51" t="s">
        <v>212</v>
      </c>
      <c r="D51" t="s">
        <v>5</v>
      </c>
      <c r="E51" t="s">
        <v>212</v>
      </c>
      <c r="F51" t="s">
        <v>212</v>
      </c>
      <c r="G51" t="s">
        <v>1</v>
      </c>
      <c r="H51" s="4" t="s">
        <v>125</v>
      </c>
      <c r="I51" s="14">
        <v>2023</v>
      </c>
      <c r="J51" s="18" t="s">
        <v>201</v>
      </c>
      <c r="K51" t="s">
        <v>202</v>
      </c>
      <c r="L51" t="s">
        <v>127</v>
      </c>
    </row>
    <row r="52" spans="1:13" x14ac:dyDescent="0.25">
      <c r="A52" t="s">
        <v>5</v>
      </c>
      <c r="B52" s="14" t="s">
        <v>50</v>
      </c>
      <c r="C52" t="s">
        <v>172</v>
      </c>
      <c r="D52" t="s">
        <v>5</v>
      </c>
      <c r="E52" t="s">
        <v>172</v>
      </c>
      <c r="F52" t="s">
        <v>172</v>
      </c>
      <c r="G52" t="s">
        <v>1</v>
      </c>
      <c r="H52" s="4" t="s">
        <v>125</v>
      </c>
      <c r="I52" s="14">
        <v>2023</v>
      </c>
      <c r="J52" s="18" t="s">
        <v>201</v>
      </c>
      <c r="K52" t="s">
        <v>202</v>
      </c>
      <c r="L52" t="s">
        <v>127</v>
      </c>
    </row>
    <row r="53" spans="1:13" x14ac:dyDescent="0.25">
      <c r="A53" t="s">
        <v>5</v>
      </c>
      <c r="B53" s="14" t="s">
        <v>50</v>
      </c>
      <c r="C53" t="s">
        <v>213</v>
      </c>
      <c r="D53" t="s">
        <v>5</v>
      </c>
      <c r="E53" t="s">
        <v>213</v>
      </c>
      <c r="F53" t="s">
        <v>213</v>
      </c>
      <c r="G53" t="s">
        <v>1</v>
      </c>
      <c r="H53" s="4" t="s">
        <v>125</v>
      </c>
      <c r="I53" s="14">
        <v>2023</v>
      </c>
      <c r="J53" s="18" t="s">
        <v>201</v>
      </c>
      <c r="K53" t="s">
        <v>202</v>
      </c>
      <c r="L53" t="s">
        <v>127</v>
      </c>
    </row>
    <row r="54" spans="1:13" x14ac:dyDescent="0.25">
      <c r="A54" t="s">
        <v>5</v>
      </c>
      <c r="B54" s="14" t="s">
        <v>50</v>
      </c>
      <c r="C54" t="s">
        <v>174</v>
      </c>
      <c r="D54" t="s">
        <v>5</v>
      </c>
      <c r="E54" t="s">
        <v>174</v>
      </c>
      <c r="F54" t="s">
        <v>174</v>
      </c>
      <c r="G54" t="s">
        <v>1</v>
      </c>
      <c r="H54" s="4" t="s">
        <v>125</v>
      </c>
      <c r="I54" s="14">
        <v>2023</v>
      </c>
      <c r="J54" s="18" t="s">
        <v>201</v>
      </c>
      <c r="K54" t="s">
        <v>202</v>
      </c>
      <c r="L54" t="s">
        <v>127</v>
      </c>
    </row>
    <row r="55" spans="1:13" x14ac:dyDescent="0.25">
      <c r="A55" t="s">
        <v>54</v>
      </c>
      <c r="B55" s="14">
        <v>0</v>
      </c>
      <c r="C55" t="s">
        <v>214</v>
      </c>
      <c r="D55" t="s">
        <v>54</v>
      </c>
      <c r="E55" t="s">
        <v>214</v>
      </c>
      <c r="F55" t="s">
        <v>214</v>
      </c>
      <c r="G55" t="s">
        <v>1</v>
      </c>
      <c r="H55" s="4" t="s">
        <v>125</v>
      </c>
      <c r="I55" s="14">
        <v>2023</v>
      </c>
      <c r="J55" s="18" t="s">
        <v>201</v>
      </c>
      <c r="K55" t="s">
        <v>202</v>
      </c>
      <c r="L55" t="s">
        <v>127</v>
      </c>
      <c r="M55" t="s">
        <v>215</v>
      </c>
    </row>
    <row r="56" spans="1:13" x14ac:dyDescent="0.25">
      <c r="A56" t="s">
        <v>5</v>
      </c>
      <c r="B56" s="14" t="s">
        <v>38</v>
      </c>
      <c r="C56" t="s">
        <v>209</v>
      </c>
      <c r="D56" t="s">
        <v>5</v>
      </c>
      <c r="E56" t="s">
        <v>209</v>
      </c>
      <c r="F56" t="s">
        <v>209</v>
      </c>
      <c r="G56" t="s">
        <v>0</v>
      </c>
      <c r="H56" s="4" t="s">
        <v>125</v>
      </c>
      <c r="I56" s="14">
        <v>2023</v>
      </c>
      <c r="J56" s="18" t="s">
        <v>126</v>
      </c>
      <c r="K56" t="s">
        <v>202</v>
      </c>
      <c r="L56" t="s">
        <v>127</v>
      </c>
    </row>
    <row r="57" spans="1:13" x14ac:dyDescent="0.25">
      <c r="A57" t="s">
        <v>5</v>
      </c>
      <c r="B57" s="14" t="s">
        <v>38</v>
      </c>
      <c r="C57" t="s">
        <v>208</v>
      </c>
      <c r="D57" t="s">
        <v>5</v>
      </c>
      <c r="E57" t="s">
        <v>208</v>
      </c>
      <c r="F57" t="s">
        <v>208</v>
      </c>
      <c r="G57" t="s">
        <v>0</v>
      </c>
      <c r="H57" s="4" t="s">
        <v>125</v>
      </c>
      <c r="I57" s="14">
        <v>2023</v>
      </c>
      <c r="J57" s="18" t="s">
        <v>126</v>
      </c>
      <c r="K57" t="s">
        <v>202</v>
      </c>
      <c r="L57" t="s">
        <v>127</v>
      </c>
    </row>
    <row r="58" spans="1:13" x14ac:dyDescent="0.25">
      <c r="A58" t="s">
        <v>54</v>
      </c>
      <c r="B58" s="14">
        <v>0</v>
      </c>
      <c r="C58" t="s">
        <v>214</v>
      </c>
      <c r="D58" t="s">
        <v>54</v>
      </c>
      <c r="E58" t="s">
        <v>214</v>
      </c>
      <c r="F58" t="s">
        <v>214</v>
      </c>
      <c r="G58" t="s">
        <v>1</v>
      </c>
      <c r="H58" s="4" t="s">
        <v>125</v>
      </c>
      <c r="I58" s="14">
        <v>2023</v>
      </c>
      <c r="J58" s="18" t="s">
        <v>126</v>
      </c>
      <c r="K58" t="s">
        <v>202</v>
      </c>
      <c r="L58" t="s">
        <v>127</v>
      </c>
    </row>
    <row r="59" spans="1:13" x14ac:dyDescent="0.25">
      <c r="A59" t="s">
        <v>5</v>
      </c>
      <c r="B59" s="14" t="s">
        <v>50</v>
      </c>
      <c r="C59" t="s">
        <v>174</v>
      </c>
      <c r="D59" t="s">
        <v>5</v>
      </c>
      <c r="E59" t="s">
        <v>174</v>
      </c>
      <c r="F59" t="s">
        <v>174</v>
      </c>
      <c r="G59" t="s">
        <v>1</v>
      </c>
      <c r="H59" s="4" t="s">
        <v>125</v>
      </c>
      <c r="I59" s="14">
        <v>2023</v>
      </c>
      <c r="J59" s="18" t="s">
        <v>126</v>
      </c>
      <c r="K59" t="s">
        <v>202</v>
      </c>
      <c r="L59" t="s">
        <v>127</v>
      </c>
    </row>
    <row r="60" spans="1:13" x14ac:dyDescent="0.25">
      <c r="A60" t="s">
        <v>5</v>
      </c>
      <c r="B60" s="14" t="s">
        <v>50</v>
      </c>
      <c r="C60" t="s">
        <v>213</v>
      </c>
      <c r="D60" t="s">
        <v>5</v>
      </c>
      <c r="E60" t="s">
        <v>213</v>
      </c>
      <c r="F60" t="s">
        <v>213</v>
      </c>
      <c r="G60" t="s">
        <v>1</v>
      </c>
      <c r="H60" s="4" t="s">
        <v>125</v>
      </c>
      <c r="I60" s="14">
        <v>2023</v>
      </c>
      <c r="J60" s="18" t="s">
        <v>126</v>
      </c>
      <c r="K60" t="s">
        <v>202</v>
      </c>
      <c r="L60" t="s">
        <v>127</v>
      </c>
    </row>
    <row r="61" spans="1:13" x14ac:dyDescent="0.25">
      <c r="A61" t="s">
        <v>5</v>
      </c>
      <c r="B61" s="14" t="s">
        <v>50</v>
      </c>
      <c r="C61" t="s">
        <v>172</v>
      </c>
      <c r="D61" t="s">
        <v>5</v>
      </c>
      <c r="E61" t="s">
        <v>172</v>
      </c>
      <c r="F61" t="s">
        <v>172</v>
      </c>
      <c r="G61" t="s">
        <v>1</v>
      </c>
      <c r="H61" s="4" t="s">
        <v>125</v>
      </c>
      <c r="I61" s="14">
        <v>2023</v>
      </c>
      <c r="J61" s="18" t="s">
        <v>126</v>
      </c>
      <c r="K61" t="s">
        <v>202</v>
      </c>
      <c r="L61" t="s">
        <v>127</v>
      </c>
    </row>
    <row r="62" spans="1:13" x14ac:dyDescent="0.25">
      <c r="A62" t="s">
        <v>5</v>
      </c>
      <c r="B62" s="14" t="s">
        <v>21</v>
      </c>
      <c r="C62" t="s">
        <v>211</v>
      </c>
      <c r="D62" t="s">
        <v>5</v>
      </c>
      <c r="E62" t="s">
        <v>211</v>
      </c>
      <c r="F62" t="s">
        <v>211</v>
      </c>
      <c r="G62" t="s">
        <v>1</v>
      </c>
      <c r="H62" s="4" t="s">
        <v>125</v>
      </c>
      <c r="I62" s="14">
        <v>2023</v>
      </c>
      <c r="J62" s="18" t="s">
        <v>126</v>
      </c>
      <c r="K62" t="s">
        <v>202</v>
      </c>
      <c r="L62" t="s">
        <v>127</v>
      </c>
    </row>
    <row r="63" spans="1:13" x14ac:dyDescent="0.25">
      <c r="A63" t="s">
        <v>98</v>
      </c>
      <c r="B63" s="14" t="s">
        <v>111</v>
      </c>
      <c r="C63" t="s">
        <v>166</v>
      </c>
      <c r="D63" t="s">
        <v>98</v>
      </c>
      <c r="E63" t="s">
        <v>166</v>
      </c>
      <c r="F63" t="s">
        <v>166</v>
      </c>
      <c r="G63" t="s">
        <v>98</v>
      </c>
      <c r="H63" s="4" t="s">
        <v>125</v>
      </c>
      <c r="I63" s="14">
        <v>2023</v>
      </c>
      <c r="J63" s="18" t="s">
        <v>126</v>
      </c>
      <c r="K63" t="s">
        <v>202</v>
      </c>
      <c r="L63" t="s">
        <v>127</v>
      </c>
    </row>
    <row r="64" spans="1:13" x14ac:dyDescent="0.25">
      <c r="A64" t="s">
        <v>5</v>
      </c>
      <c r="B64" s="14" t="s">
        <v>21</v>
      </c>
      <c r="C64" t="s">
        <v>211</v>
      </c>
      <c r="D64" t="s">
        <v>5</v>
      </c>
      <c r="E64" t="s">
        <v>211</v>
      </c>
      <c r="F64" t="s">
        <v>211</v>
      </c>
      <c r="G64" t="s">
        <v>1</v>
      </c>
      <c r="H64" s="5" t="s">
        <v>130</v>
      </c>
      <c r="I64" s="14">
        <v>2023</v>
      </c>
      <c r="J64" t="s">
        <v>131</v>
      </c>
      <c r="K64" t="s">
        <v>202</v>
      </c>
      <c r="L64" t="s">
        <v>132</v>
      </c>
    </row>
    <row r="65" spans="1:12" x14ac:dyDescent="0.25">
      <c r="A65" t="s">
        <v>54</v>
      </c>
      <c r="B65" s="14">
        <v>0</v>
      </c>
      <c r="C65" t="s">
        <v>214</v>
      </c>
      <c r="D65" t="s">
        <v>54</v>
      </c>
      <c r="E65" t="s">
        <v>214</v>
      </c>
      <c r="F65" t="s">
        <v>214</v>
      </c>
      <c r="G65" t="s">
        <v>1</v>
      </c>
      <c r="H65" s="5" t="s">
        <v>130</v>
      </c>
      <c r="I65" s="14">
        <v>2023</v>
      </c>
      <c r="J65" t="s">
        <v>131</v>
      </c>
      <c r="K65" t="s">
        <v>202</v>
      </c>
      <c r="L65" t="s">
        <v>132</v>
      </c>
    </row>
    <row r="66" spans="1:12" x14ac:dyDescent="0.25">
      <c r="A66" t="s">
        <v>52</v>
      </c>
      <c r="B66" s="14" t="s">
        <v>52</v>
      </c>
      <c r="C66" t="s">
        <v>171</v>
      </c>
      <c r="D66" t="s">
        <v>52</v>
      </c>
      <c r="E66" t="s">
        <v>171</v>
      </c>
      <c r="F66" t="s">
        <v>171</v>
      </c>
      <c r="G66" t="s">
        <v>1</v>
      </c>
      <c r="H66" s="5" t="s">
        <v>130</v>
      </c>
      <c r="I66" s="14">
        <v>2023</v>
      </c>
      <c r="J66" t="s">
        <v>131</v>
      </c>
      <c r="K66" t="s">
        <v>202</v>
      </c>
      <c r="L66" t="s">
        <v>132</v>
      </c>
    </row>
    <row r="67" spans="1:12" x14ac:dyDescent="0.25">
      <c r="A67" t="s">
        <v>52</v>
      </c>
      <c r="B67" s="14" t="s">
        <v>52</v>
      </c>
      <c r="C67" t="s">
        <v>216</v>
      </c>
      <c r="D67" t="s">
        <v>52</v>
      </c>
      <c r="E67" t="s">
        <v>216</v>
      </c>
      <c r="F67" t="s">
        <v>216</v>
      </c>
      <c r="G67" t="s">
        <v>1</v>
      </c>
      <c r="H67" s="5" t="s">
        <v>130</v>
      </c>
      <c r="I67" s="14">
        <v>2023</v>
      </c>
      <c r="J67" t="s">
        <v>131</v>
      </c>
      <c r="K67" t="s">
        <v>202</v>
      </c>
      <c r="L67" t="s">
        <v>132</v>
      </c>
    </row>
    <row r="68" spans="1:12" x14ac:dyDescent="0.25">
      <c r="A68" t="s">
        <v>5</v>
      </c>
      <c r="B68" s="14" t="s">
        <v>5</v>
      </c>
      <c r="C68" t="s">
        <v>217</v>
      </c>
      <c r="D68" t="s">
        <v>5</v>
      </c>
      <c r="E68" t="s">
        <v>217</v>
      </c>
      <c r="F68" t="s">
        <v>217</v>
      </c>
      <c r="G68" t="s">
        <v>1</v>
      </c>
      <c r="H68" s="5" t="s">
        <v>130</v>
      </c>
      <c r="I68" s="14">
        <v>2023</v>
      </c>
      <c r="J68" t="s">
        <v>131</v>
      </c>
      <c r="K68" t="s">
        <v>202</v>
      </c>
      <c r="L68" t="s">
        <v>132</v>
      </c>
    </row>
    <row r="69" spans="1:12" x14ac:dyDescent="0.25">
      <c r="A69" t="s">
        <v>61</v>
      </c>
      <c r="B69" t="s">
        <v>61</v>
      </c>
      <c r="C69" t="s">
        <v>218</v>
      </c>
      <c r="D69" t="s">
        <v>61</v>
      </c>
      <c r="E69" t="s">
        <v>218</v>
      </c>
      <c r="F69" t="s">
        <v>218</v>
      </c>
      <c r="G69" t="s">
        <v>1</v>
      </c>
      <c r="H69" s="5" t="s">
        <v>130</v>
      </c>
      <c r="I69" s="14">
        <v>2023</v>
      </c>
      <c r="J69" t="s">
        <v>131</v>
      </c>
      <c r="K69" t="s">
        <v>202</v>
      </c>
      <c r="L69" t="s">
        <v>132</v>
      </c>
    </row>
    <row r="70" spans="1:12" x14ac:dyDescent="0.25">
      <c r="A70" t="s">
        <v>61</v>
      </c>
      <c r="B70" s="14" t="s">
        <v>61</v>
      </c>
      <c r="C70" t="s">
        <v>219</v>
      </c>
      <c r="D70" t="s">
        <v>61</v>
      </c>
      <c r="E70" t="s">
        <v>219</v>
      </c>
      <c r="F70" t="s">
        <v>219</v>
      </c>
      <c r="G70" t="s">
        <v>1</v>
      </c>
      <c r="H70" s="5" t="s">
        <v>130</v>
      </c>
      <c r="I70" s="14">
        <v>2023</v>
      </c>
      <c r="J70" t="s">
        <v>131</v>
      </c>
      <c r="K70" t="s">
        <v>202</v>
      </c>
      <c r="L70" t="s">
        <v>132</v>
      </c>
    </row>
    <row r="71" spans="1:12" x14ac:dyDescent="0.25">
      <c r="A71" t="s">
        <v>61</v>
      </c>
      <c r="B71" s="14" t="s">
        <v>61</v>
      </c>
      <c r="C71" t="s">
        <v>220</v>
      </c>
      <c r="D71" t="s">
        <v>61</v>
      </c>
      <c r="E71" t="s">
        <v>220</v>
      </c>
      <c r="F71" t="s">
        <v>220</v>
      </c>
      <c r="G71" t="s">
        <v>1</v>
      </c>
      <c r="H71" s="5" t="s">
        <v>130</v>
      </c>
      <c r="I71" s="14">
        <v>2023</v>
      </c>
      <c r="J71" t="s">
        <v>131</v>
      </c>
      <c r="K71" t="s">
        <v>202</v>
      </c>
      <c r="L71" t="s">
        <v>132</v>
      </c>
    </row>
    <row r="72" spans="1:12" x14ac:dyDescent="0.25">
      <c r="A72" t="s">
        <v>5</v>
      </c>
      <c r="B72" s="14" t="s">
        <v>7</v>
      </c>
      <c r="C72" t="s">
        <v>221</v>
      </c>
      <c r="D72" t="s">
        <v>5</v>
      </c>
      <c r="E72" t="s">
        <v>221</v>
      </c>
      <c r="F72" t="s">
        <v>221</v>
      </c>
      <c r="G72" t="s">
        <v>1</v>
      </c>
      <c r="H72" s="5" t="s">
        <v>130</v>
      </c>
      <c r="I72" s="14">
        <v>2023</v>
      </c>
      <c r="J72" t="s">
        <v>131</v>
      </c>
      <c r="K72" t="s">
        <v>202</v>
      </c>
      <c r="L72" t="s">
        <v>132</v>
      </c>
    </row>
    <row r="73" spans="1:12" x14ac:dyDescent="0.25">
      <c r="A73" t="s">
        <v>5</v>
      </c>
      <c r="B73" s="14" t="s">
        <v>11</v>
      </c>
      <c r="C73" t="s">
        <v>222</v>
      </c>
      <c r="D73" t="s">
        <v>5</v>
      </c>
      <c r="E73" t="s">
        <v>222</v>
      </c>
      <c r="F73" t="s">
        <v>222</v>
      </c>
      <c r="G73" t="s">
        <v>1</v>
      </c>
      <c r="H73" s="5" t="s">
        <v>130</v>
      </c>
      <c r="I73" s="14">
        <v>2023</v>
      </c>
      <c r="J73" t="s">
        <v>131</v>
      </c>
      <c r="K73" t="s">
        <v>202</v>
      </c>
      <c r="L73" t="s">
        <v>132</v>
      </c>
    </row>
    <row r="74" spans="1:12" x14ac:dyDescent="0.25">
      <c r="A74" t="s">
        <v>5</v>
      </c>
      <c r="B74" s="14" t="s">
        <v>7</v>
      </c>
      <c r="C74" t="s">
        <v>223</v>
      </c>
      <c r="D74" t="s">
        <v>5</v>
      </c>
      <c r="E74" t="s">
        <v>223</v>
      </c>
      <c r="F74" t="s">
        <v>223</v>
      </c>
      <c r="G74" t="s">
        <v>1</v>
      </c>
      <c r="H74" s="5" t="s">
        <v>130</v>
      </c>
      <c r="I74" s="14">
        <v>2023</v>
      </c>
      <c r="J74" t="s">
        <v>131</v>
      </c>
      <c r="K74" t="s">
        <v>202</v>
      </c>
      <c r="L74" t="s">
        <v>132</v>
      </c>
    </row>
    <row r="75" spans="1:12" x14ac:dyDescent="0.25">
      <c r="A75" t="s">
        <v>5</v>
      </c>
      <c r="B75" s="14" t="s">
        <v>7</v>
      </c>
      <c r="C75" t="s">
        <v>224</v>
      </c>
      <c r="D75" t="s">
        <v>5</v>
      </c>
      <c r="E75" t="s">
        <v>224</v>
      </c>
      <c r="F75" t="s">
        <v>224</v>
      </c>
      <c r="G75" t="s">
        <v>1</v>
      </c>
      <c r="H75" s="5" t="s">
        <v>130</v>
      </c>
      <c r="I75" s="14">
        <v>2023</v>
      </c>
      <c r="J75" t="s">
        <v>131</v>
      </c>
      <c r="K75" t="s">
        <v>202</v>
      </c>
      <c r="L75" t="s">
        <v>132</v>
      </c>
    </row>
    <row r="76" spans="1:12" x14ac:dyDescent="0.25">
      <c r="A76" t="s">
        <v>5</v>
      </c>
      <c r="B76" s="14" t="s">
        <v>7</v>
      </c>
      <c r="C76" t="s">
        <v>212</v>
      </c>
      <c r="D76" t="s">
        <v>5</v>
      </c>
      <c r="E76" t="s">
        <v>212</v>
      </c>
      <c r="F76" t="s">
        <v>212</v>
      </c>
      <c r="G76" t="s">
        <v>1</v>
      </c>
      <c r="H76" s="5" t="s">
        <v>130</v>
      </c>
      <c r="I76" s="14">
        <v>2023</v>
      </c>
      <c r="J76" t="s">
        <v>131</v>
      </c>
      <c r="K76" t="s">
        <v>202</v>
      </c>
      <c r="L76" t="s">
        <v>132</v>
      </c>
    </row>
    <row r="77" spans="1:12" x14ac:dyDescent="0.25">
      <c r="A77" t="s">
        <v>5</v>
      </c>
      <c r="B77" s="14" t="s">
        <v>7</v>
      </c>
      <c r="C77" t="s">
        <v>225</v>
      </c>
      <c r="D77" t="s">
        <v>5</v>
      </c>
      <c r="E77" t="s">
        <v>225</v>
      </c>
      <c r="F77" t="s">
        <v>225</v>
      </c>
      <c r="G77" t="s">
        <v>1</v>
      </c>
      <c r="H77" s="5" t="s">
        <v>130</v>
      </c>
      <c r="I77" s="14">
        <v>2023</v>
      </c>
      <c r="J77" t="s">
        <v>131</v>
      </c>
      <c r="K77" t="s">
        <v>202</v>
      </c>
      <c r="L77" t="s">
        <v>132</v>
      </c>
    </row>
    <row r="78" spans="1:12" x14ac:dyDescent="0.25">
      <c r="A78" t="s">
        <v>5</v>
      </c>
      <c r="B78" s="14" t="s">
        <v>7</v>
      </c>
      <c r="C78" t="s">
        <v>226</v>
      </c>
      <c r="D78" t="s">
        <v>5</v>
      </c>
      <c r="E78" t="s">
        <v>226</v>
      </c>
      <c r="F78" t="s">
        <v>226</v>
      </c>
      <c r="G78" t="s">
        <v>1</v>
      </c>
      <c r="H78" s="5" t="s">
        <v>130</v>
      </c>
      <c r="I78" s="14">
        <v>2023</v>
      </c>
      <c r="J78" t="s">
        <v>131</v>
      </c>
      <c r="K78" t="s">
        <v>202</v>
      </c>
      <c r="L78" t="s">
        <v>132</v>
      </c>
    </row>
    <row r="79" spans="1:12" x14ac:dyDescent="0.25">
      <c r="A79" t="s">
        <v>5</v>
      </c>
      <c r="B79" s="14" t="s">
        <v>49</v>
      </c>
      <c r="C79" t="s">
        <v>227</v>
      </c>
      <c r="D79" t="s">
        <v>5</v>
      </c>
      <c r="E79" t="s">
        <v>227</v>
      </c>
      <c r="F79" t="s">
        <v>227</v>
      </c>
      <c r="G79" t="s">
        <v>1</v>
      </c>
      <c r="H79" s="5" t="s">
        <v>130</v>
      </c>
      <c r="I79" s="14">
        <v>2023</v>
      </c>
      <c r="J79" t="s">
        <v>131</v>
      </c>
      <c r="K79" t="s">
        <v>202</v>
      </c>
      <c r="L79" t="s">
        <v>132</v>
      </c>
    </row>
    <row r="80" spans="1:12" x14ac:dyDescent="0.25">
      <c r="A80" t="s">
        <v>5</v>
      </c>
      <c r="B80" s="14" t="s">
        <v>13</v>
      </c>
      <c r="C80" t="s">
        <v>228</v>
      </c>
      <c r="D80" t="s">
        <v>5</v>
      </c>
      <c r="E80" t="s">
        <v>228</v>
      </c>
      <c r="F80" t="s">
        <v>228</v>
      </c>
      <c r="G80" t="s">
        <v>1</v>
      </c>
      <c r="H80" s="5" t="s">
        <v>130</v>
      </c>
      <c r="I80" s="14">
        <v>2023</v>
      </c>
      <c r="J80" t="s">
        <v>131</v>
      </c>
      <c r="K80" t="s">
        <v>202</v>
      </c>
      <c r="L80" t="s">
        <v>132</v>
      </c>
    </row>
    <row r="81" spans="1:12" x14ac:dyDescent="0.25">
      <c r="A81" t="s">
        <v>5</v>
      </c>
      <c r="B81" s="14" t="s">
        <v>16</v>
      </c>
      <c r="C81" t="s">
        <v>229</v>
      </c>
      <c r="D81" t="s">
        <v>5</v>
      </c>
      <c r="E81" t="s">
        <v>229</v>
      </c>
      <c r="F81" t="s">
        <v>229</v>
      </c>
      <c r="G81" t="s">
        <v>1</v>
      </c>
      <c r="H81" s="5" t="s">
        <v>130</v>
      </c>
      <c r="I81" s="14">
        <v>2023</v>
      </c>
      <c r="J81" t="s">
        <v>131</v>
      </c>
      <c r="K81" t="s">
        <v>202</v>
      </c>
      <c r="L81" t="s">
        <v>132</v>
      </c>
    </row>
    <row r="82" spans="1:12" x14ac:dyDescent="0.25">
      <c r="A82" t="s">
        <v>5</v>
      </c>
      <c r="B82" s="14" t="s">
        <v>16</v>
      </c>
      <c r="C82" t="s">
        <v>230</v>
      </c>
      <c r="D82" t="s">
        <v>5</v>
      </c>
      <c r="E82" t="s">
        <v>230</v>
      </c>
      <c r="F82" t="s">
        <v>230</v>
      </c>
      <c r="G82" t="s">
        <v>1</v>
      </c>
      <c r="H82" s="5" t="s">
        <v>130</v>
      </c>
      <c r="I82" s="14">
        <v>2023</v>
      </c>
      <c r="J82" t="s">
        <v>131</v>
      </c>
      <c r="K82" t="s">
        <v>202</v>
      </c>
      <c r="L82" t="s">
        <v>132</v>
      </c>
    </row>
    <row r="83" spans="1:12" x14ac:dyDescent="0.25">
      <c r="A83" t="s">
        <v>5</v>
      </c>
      <c r="B83" s="14" t="s">
        <v>50</v>
      </c>
      <c r="C83" t="s">
        <v>174</v>
      </c>
      <c r="D83" t="s">
        <v>5</v>
      </c>
      <c r="E83" t="s">
        <v>174</v>
      </c>
      <c r="F83" t="s">
        <v>174</v>
      </c>
      <c r="G83" t="s">
        <v>1</v>
      </c>
      <c r="H83" s="5" t="s">
        <v>130</v>
      </c>
      <c r="I83" s="14">
        <v>2023</v>
      </c>
      <c r="J83" t="s">
        <v>131</v>
      </c>
      <c r="K83" t="s">
        <v>202</v>
      </c>
      <c r="L83" t="s">
        <v>132</v>
      </c>
    </row>
    <row r="84" spans="1:12" x14ac:dyDescent="0.25">
      <c r="A84" t="s">
        <v>5</v>
      </c>
      <c r="B84" s="14" t="s">
        <v>50</v>
      </c>
      <c r="C84" t="s">
        <v>231</v>
      </c>
      <c r="D84" t="s">
        <v>5</v>
      </c>
      <c r="E84" t="s">
        <v>231</v>
      </c>
      <c r="F84" t="s">
        <v>231</v>
      </c>
      <c r="G84" t="s">
        <v>1</v>
      </c>
      <c r="H84" s="5" t="s">
        <v>130</v>
      </c>
      <c r="I84" s="14">
        <v>2023</v>
      </c>
      <c r="J84" t="s">
        <v>131</v>
      </c>
      <c r="K84" t="s">
        <v>202</v>
      </c>
      <c r="L84" t="s">
        <v>132</v>
      </c>
    </row>
    <row r="85" spans="1:12" x14ac:dyDescent="0.25">
      <c r="A85" t="s">
        <v>5</v>
      </c>
      <c r="B85" s="14" t="s">
        <v>50</v>
      </c>
      <c r="C85" t="s">
        <v>232</v>
      </c>
      <c r="D85" t="s">
        <v>5</v>
      </c>
      <c r="E85" t="s">
        <v>232</v>
      </c>
      <c r="F85" t="s">
        <v>232</v>
      </c>
      <c r="G85" t="s">
        <v>1</v>
      </c>
      <c r="H85" s="5" t="s">
        <v>130</v>
      </c>
      <c r="I85" s="14">
        <v>2023</v>
      </c>
      <c r="J85" t="s">
        <v>131</v>
      </c>
      <c r="K85" t="s">
        <v>202</v>
      </c>
      <c r="L85" t="s">
        <v>132</v>
      </c>
    </row>
    <row r="86" spans="1:12" x14ac:dyDescent="0.25">
      <c r="A86" t="s">
        <v>5</v>
      </c>
      <c r="B86" s="14" t="s">
        <v>50</v>
      </c>
      <c r="C86" t="s">
        <v>172</v>
      </c>
      <c r="D86" t="s">
        <v>5</v>
      </c>
      <c r="E86" t="s">
        <v>172</v>
      </c>
      <c r="F86" t="s">
        <v>172</v>
      </c>
      <c r="G86" t="s">
        <v>1</v>
      </c>
      <c r="H86" s="5" t="s">
        <v>130</v>
      </c>
      <c r="I86" s="14">
        <v>2023</v>
      </c>
      <c r="J86" t="s">
        <v>131</v>
      </c>
      <c r="K86" t="s">
        <v>202</v>
      </c>
      <c r="L86" t="s">
        <v>132</v>
      </c>
    </row>
    <row r="87" spans="1:12" x14ac:dyDescent="0.25">
      <c r="A87" t="s">
        <v>5</v>
      </c>
      <c r="B87" s="14" t="s">
        <v>50</v>
      </c>
      <c r="C87" t="s">
        <v>233</v>
      </c>
      <c r="D87" t="s">
        <v>5</v>
      </c>
      <c r="E87" t="s">
        <v>233</v>
      </c>
      <c r="F87" t="s">
        <v>233</v>
      </c>
      <c r="G87" t="s">
        <v>1</v>
      </c>
      <c r="H87" s="5" t="s">
        <v>130</v>
      </c>
      <c r="I87" s="14">
        <v>2023</v>
      </c>
      <c r="J87" t="s">
        <v>131</v>
      </c>
      <c r="K87" t="s">
        <v>202</v>
      </c>
      <c r="L87" t="s">
        <v>132</v>
      </c>
    </row>
    <row r="88" spans="1:12" x14ac:dyDescent="0.25">
      <c r="A88" t="s">
        <v>5</v>
      </c>
      <c r="B88" s="14" t="s">
        <v>50</v>
      </c>
      <c r="C88" t="s">
        <v>234</v>
      </c>
      <c r="D88" t="s">
        <v>5</v>
      </c>
      <c r="E88" t="s">
        <v>234</v>
      </c>
      <c r="F88" t="s">
        <v>234</v>
      </c>
      <c r="G88" t="s">
        <v>1</v>
      </c>
      <c r="H88" s="5" t="s">
        <v>130</v>
      </c>
      <c r="I88" s="14">
        <v>2023</v>
      </c>
      <c r="J88" t="s">
        <v>131</v>
      </c>
      <c r="K88" t="s">
        <v>202</v>
      </c>
      <c r="L88" t="s">
        <v>132</v>
      </c>
    </row>
    <row r="89" spans="1:12" x14ac:dyDescent="0.25">
      <c r="A89" t="s">
        <v>5</v>
      </c>
      <c r="B89" s="14" t="s">
        <v>50</v>
      </c>
      <c r="C89" t="s">
        <v>235</v>
      </c>
      <c r="D89" t="s">
        <v>5</v>
      </c>
      <c r="E89" t="s">
        <v>236</v>
      </c>
      <c r="F89" t="s">
        <v>235</v>
      </c>
      <c r="G89" t="s">
        <v>1</v>
      </c>
      <c r="H89" s="5" t="s">
        <v>130</v>
      </c>
      <c r="I89" s="14">
        <v>2023</v>
      </c>
      <c r="J89" t="s">
        <v>131</v>
      </c>
      <c r="K89" t="s">
        <v>202</v>
      </c>
      <c r="L89" t="s">
        <v>132</v>
      </c>
    </row>
    <row r="90" spans="1:12" x14ac:dyDescent="0.25">
      <c r="A90" t="s">
        <v>5</v>
      </c>
      <c r="B90" s="14" t="s">
        <v>50</v>
      </c>
      <c r="C90" t="s">
        <v>235</v>
      </c>
      <c r="D90" t="s">
        <v>5</v>
      </c>
      <c r="E90" t="s">
        <v>237</v>
      </c>
      <c r="F90" t="s">
        <v>235</v>
      </c>
      <c r="G90" t="s">
        <v>1</v>
      </c>
      <c r="H90" s="5" t="s">
        <v>130</v>
      </c>
      <c r="I90" s="14">
        <v>2023</v>
      </c>
      <c r="J90" t="s">
        <v>131</v>
      </c>
      <c r="K90" t="s">
        <v>202</v>
      </c>
      <c r="L90" t="s">
        <v>132</v>
      </c>
    </row>
    <row r="91" spans="1:12" x14ac:dyDescent="0.25">
      <c r="A91" t="s">
        <v>5</v>
      </c>
      <c r="B91" s="14" t="s">
        <v>50</v>
      </c>
      <c r="C91" t="s">
        <v>238</v>
      </c>
      <c r="D91" t="s">
        <v>5</v>
      </c>
      <c r="E91" t="s">
        <v>238</v>
      </c>
      <c r="F91" t="s">
        <v>238</v>
      </c>
      <c r="G91" t="s">
        <v>1</v>
      </c>
      <c r="H91" s="5" t="s">
        <v>130</v>
      </c>
      <c r="I91" s="14">
        <v>2023</v>
      </c>
      <c r="J91" t="s">
        <v>131</v>
      </c>
      <c r="K91" t="s">
        <v>202</v>
      </c>
      <c r="L91" t="s">
        <v>132</v>
      </c>
    </row>
    <row r="92" spans="1:12" x14ac:dyDescent="0.25">
      <c r="A92" t="s">
        <v>5</v>
      </c>
      <c r="B92" s="14" t="s">
        <v>50</v>
      </c>
      <c r="C92" t="s">
        <v>239</v>
      </c>
      <c r="D92" t="s">
        <v>5</v>
      </c>
      <c r="E92" t="s">
        <v>239</v>
      </c>
      <c r="F92" t="s">
        <v>239</v>
      </c>
      <c r="G92" t="s">
        <v>1</v>
      </c>
      <c r="H92" s="5" t="s">
        <v>130</v>
      </c>
      <c r="I92" s="14">
        <v>2023</v>
      </c>
      <c r="J92" t="s">
        <v>131</v>
      </c>
      <c r="K92" t="s">
        <v>202</v>
      </c>
      <c r="L92" t="s">
        <v>132</v>
      </c>
    </row>
    <row r="93" spans="1:12" x14ac:dyDescent="0.25">
      <c r="A93" t="s">
        <v>5</v>
      </c>
      <c r="B93" s="14" t="s">
        <v>50</v>
      </c>
      <c r="C93" t="s">
        <v>213</v>
      </c>
      <c r="D93" t="s">
        <v>5</v>
      </c>
      <c r="E93" t="s">
        <v>213</v>
      </c>
      <c r="F93" t="s">
        <v>213</v>
      </c>
      <c r="G93" t="s">
        <v>1</v>
      </c>
      <c r="H93" s="5" t="s">
        <v>130</v>
      </c>
      <c r="I93" s="14">
        <v>2023</v>
      </c>
      <c r="J93" t="s">
        <v>131</v>
      </c>
      <c r="K93" t="s">
        <v>202</v>
      </c>
      <c r="L93" t="s">
        <v>132</v>
      </c>
    </row>
    <row r="94" spans="1:12" x14ac:dyDescent="0.25">
      <c r="A94" t="s">
        <v>5</v>
      </c>
      <c r="B94" s="14" t="s">
        <v>47</v>
      </c>
      <c r="C94" t="s">
        <v>240</v>
      </c>
      <c r="D94" t="s">
        <v>5</v>
      </c>
      <c r="E94" t="s">
        <v>240</v>
      </c>
      <c r="F94" t="s">
        <v>240</v>
      </c>
      <c r="G94" t="s">
        <v>0</v>
      </c>
      <c r="H94" s="5" t="s">
        <v>130</v>
      </c>
      <c r="I94" s="14">
        <v>2023</v>
      </c>
      <c r="J94" t="s">
        <v>131</v>
      </c>
      <c r="K94" t="s">
        <v>202</v>
      </c>
      <c r="L94" t="s">
        <v>132</v>
      </c>
    </row>
    <row r="95" spans="1:12" x14ac:dyDescent="0.25">
      <c r="A95" t="s">
        <v>5</v>
      </c>
      <c r="B95" s="14" t="s">
        <v>133</v>
      </c>
      <c r="C95" t="s">
        <v>241</v>
      </c>
      <c r="D95" t="s">
        <v>5</v>
      </c>
      <c r="E95" t="s">
        <v>241</v>
      </c>
      <c r="F95" t="s">
        <v>241</v>
      </c>
      <c r="G95" t="s">
        <v>0</v>
      </c>
      <c r="H95" s="5" t="s">
        <v>130</v>
      </c>
      <c r="I95" s="14">
        <v>2023</v>
      </c>
      <c r="J95" t="s">
        <v>131</v>
      </c>
      <c r="K95" t="s">
        <v>202</v>
      </c>
      <c r="L95" t="s">
        <v>132</v>
      </c>
    </row>
    <row r="96" spans="1:12" x14ac:dyDescent="0.25">
      <c r="A96" t="s">
        <v>5</v>
      </c>
      <c r="B96" s="14" t="s">
        <v>133</v>
      </c>
      <c r="C96" t="s">
        <v>242</v>
      </c>
      <c r="D96" t="s">
        <v>5</v>
      </c>
      <c r="E96" t="s">
        <v>242</v>
      </c>
      <c r="F96" t="s">
        <v>242</v>
      </c>
      <c r="G96" t="s">
        <v>0</v>
      </c>
      <c r="H96" s="5" t="s">
        <v>130</v>
      </c>
      <c r="I96" s="14">
        <v>2023</v>
      </c>
      <c r="J96" t="s">
        <v>131</v>
      </c>
      <c r="K96" t="s">
        <v>202</v>
      </c>
      <c r="L96" t="s">
        <v>132</v>
      </c>
    </row>
    <row r="97" spans="1:12" x14ac:dyDescent="0.25">
      <c r="A97" t="s">
        <v>59</v>
      </c>
      <c r="B97" s="14" t="s">
        <v>59</v>
      </c>
      <c r="C97" t="s">
        <v>199</v>
      </c>
      <c r="D97" t="s">
        <v>59</v>
      </c>
      <c r="E97" t="s">
        <v>199</v>
      </c>
      <c r="F97" t="s">
        <v>199</v>
      </c>
      <c r="G97" t="s">
        <v>0</v>
      </c>
      <c r="H97" s="5" t="s">
        <v>130</v>
      </c>
      <c r="I97" s="14">
        <v>2023</v>
      </c>
      <c r="J97" t="s">
        <v>131</v>
      </c>
      <c r="K97" t="s">
        <v>202</v>
      </c>
      <c r="L97" t="s">
        <v>132</v>
      </c>
    </row>
    <row r="98" spans="1:12" x14ac:dyDescent="0.25">
      <c r="A98" t="s">
        <v>5</v>
      </c>
      <c r="B98" s="14" t="s">
        <v>25</v>
      </c>
      <c r="C98" t="s">
        <v>243</v>
      </c>
      <c r="D98" t="s">
        <v>5</v>
      </c>
      <c r="E98" t="s">
        <v>243</v>
      </c>
      <c r="F98" t="s">
        <v>243</v>
      </c>
      <c r="G98" t="s">
        <v>0</v>
      </c>
      <c r="H98" s="5" t="s">
        <v>130</v>
      </c>
      <c r="I98" s="14">
        <v>2023</v>
      </c>
      <c r="J98" t="s">
        <v>131</v>
      </c>
      <c r="K98" t="s">
        <v>202</v>
      </c>
      <c r="L98" t="s">
        <v>132</v>
      </c>
    </row>
    <row r="99" spans="1:12" x14ac:dyDescent="0.25">
      <c r="A99" t="s">
        <v>5</v>
      </c>
      <c r="B99" s="14" t="s">
        <v>25</v>
      </c>
      <c r="C99" t="s">
        <v>244</v>
      </c>
      <c r="D99" t="s">
        <v>5</v>
      </c>
      <c r="E99" t="s">
        <v>244</v>
      </c>
      <c r="F99" t="s">
        <v>244</v>
      </c>
      <c r="G99" t="s">
        <v>0</v>
      </c>
      <c r="H99" s="5" t="s">
        <v>130</v>
      </c>
      <c r="I99" s="14">
        <v>2023</v>
      </c>
      <c r="J99" t="s">
        <v>131</v>
      </c>
      <c r="K99" t="s">
        <v>202</v>
      </c>
      <c r="L99" t="s">
        <v>132</v>
      </c>
    </row>
    <row r="100" spans="1:12" x14ac:dyDescent="0.25">
      <c r="A100" t="s">
        <v>5</v>
      </c>
      <c r="B100" s="14" t="s">
        <v>38</v>
      </c>
      <c r="C100" t="s">
        <v>245</v>
      </c>
      <c r="D100" t="s">
        <v>5</v>
      </c>
      <c r="E100" t="s">
        <v>245</v>
      </c>
      <c r="F100" t="s">
        <v>245</v>
      </c>
      <c r="G100" t="s">
        <v>0</v>
      </c>
      <c r="H100" s="5" t="s">
        <v>130</v>
      </c>
      <c r="I100" s="14">
        <v>2023</v>
      </c>
      <c r="J100" t="s">
        <v>131</v>
      </c>
      <c r="K100" t="s">
        <v>202</v>
      </c>
      <c r="L100" t="s">
        <v>132</v>
      </c>
    </row>
    <row r="101" spans="1:12" x14ac:dyDescent="0.25">
      <c r="A101" t="s">
        <v>5</v>
      </c>
      <c r="B101" s="14" t="s">
        <v>38</v>
      </c>
      <c r="C101" t="s">
        <v>178</v>
      </c>
      <c r="D101" t="s">
        <v>5</v>
      </c>
      <c r="E101" t="s">
        <v>178</v>
      </c>
      <c r="F101" t="s">
        <v>178</v>
      </c>
      <c r="G101" t="s">
        <v>0</v>
      </c>
      <c r="H101" s="5" t="s">
        <v>130</v>
      </c>
      <c r="I101" s="14">
        <v>2023</v>
      </c>
      <c r="J101" t="s">
        <v>131</v>
      </c>
      <c r="K101" t="s">
        <v>202</v>
      </c>
      <c r="L101" t="s">
        <v>132</v>
      </c>
    </row>
    <row r="102" spans="1:12" x14ac:dyDescent="0.25">
      <c r="A102" t="s">
        <v>5</v>
      </c>
      <c r="B102" s="14" t="s">
        <v>38</v>
      </c>
      <c r="C102" t="s">
        <v>246</v>
      </c>
      <c r="D102" t="s">
        <v>5</v>
      </c>
      <c r="E102" t="s">
        <v>246</v>
      </c>
      <c r="F102" t="s">
        <v>246</v>
      </c>
      <c r="G102" t="s">
        <v>0</v>
      </c>
      <c r="H102" s="5" t="s">
        <v>130</v>
      </c>
      <c r="I102" s="14">
        <v>2023</v>
      </c>
      <c r="J102" t="s">
        <v>131</v>
      </c>
      <c r="K102" t="s">
        <v>202</v>
      </c>
      <c r="L102" t="s">
        <v>132</v>
      </c>
    </row>
    <row r="103" spans="1:12" x14ac:dyDescent="0.25">
      <c r="A103" t="s">
        <v>5</v>
      </c>
      <c r="B103" s="14" t="s">
        <v>38</v>
      </c>
      <c r="C103" t="s">
        <v>247</v>
      </c>
      <c r="D103" t="s">
        <v>5</v>
      </c>
      <c r="E103" t="s">
        <v>247</v>
      </c>
      <c r="F103" t="s">
        <v>247</v>
      </c>
      <c r="G103" t="s">
        <v>0</v>
      </c>
      <c r="H103" s="5" t="s">
        <v>130</v>
      </c>
      <c r="I103" s="14">
        <v>2023</v>
      </c>
      <c r="J103" t="s">
        <v>131</v>
      </c>
      <c r="K103" t="s">
        <v>202</v>
      </c>
      <c r="L103" t="s">
        <v>132</v>
      </c>
    </row>
    <row r="104" spans="1:12" x14ac:dyDescent="0.25">
      <c r="A104" t="s">
        <v>5</v>
      </c>
      <c r="B104" s="14" t="s">
        <v>38</v>
      </c>
      <c r="C104" t="s">
        <v>177</v>
      </c>
      <c r="D104" t="s">
        <v>5</v>
      </c>
      <c r="E104" t="s">
        <v>177</v>
      </c>
      <c r="F104" t="s">
        <v>177</v>
      </c>
      <c r="G104" t="s">
        <v>0</v>
      </c>
      <c r="H104" s="5" t="s">
        <v>130</v>
      </c>
      <c r="I104" s="14">
        <v>2023</v>
      </c>
      <c r="J104" t="s">
        <v>131</v>
      </c>
      <c r="K104" t="s">
        <v>202</v>
      </c>
      <c r="L104" t="s">
        <v>132</v>
      </c>
    </row>
    <row r="105" spans="1:12" x14ac:dyDescent="0.25">
      <c r="A105" t="s">
        <v>5</v>
      </c>
      <c r="B105" s="14" t="s">
        <v>38</v>
      </c>
      <c r="C105" t="s">
        <v>176</v>
      </c>
      <c r="D105" t="s">
        <v>5</v>
      </c>
      <c r="E105" t="s">
        <v>176</v>
      </c>
      <c r="F105" t="s">
        <v>176</v>
      </c>
      <c r="G105" t="s">
        <v>0</v>
      </c>
      <c r="H105" s="5" t="s">
        <v>130</v>
      </c>
      <c r="I105" s="14">
        <v>2023</v>
      </c>
      <c r="J105" t="s">
        <v>131</v>
      </c>
      <c r="K105" t="s">
        <v>202</v>
      </c>
      <c r="L105" t="s">
        <v>132</v>
      </c>
    </row>
    <row r="106" spans="1:12" x14ac:dyDescent="0.25">
      <c r="A106" t="s">
        <v>5</v>
      </c>
      <c r="B106" s="14" t="s">
        <v>35</v>
      </c>
      <c r="C106" t="s">
        <v>185</v>
      </c>
      <c r="D106" t="s">
        <v>5</v>
      </c>
      <c r="E106" t="s">
        <v>185</v>
      </c>
      <c r="F106" t="s">
        <v>185</v>
      </c>
      <c r="G106" t="s">
        <v>0</v>
      </c>
      <c r="H106" s="5" t="s">
        <v>130</v>
      </c>
      <c r="I106" s="14">
        <v>2023</v>
      </c>
      <c r="J106" t="s">
        <v>131</v>
      </c>
      <c r="K106" t="s">
        <v>202</v>
      </c>
      <c r="L106" t="s">
        <v>132</v>
      </c>
    </row>
    <row r="107" spans="1:12" x14ac:dyDescent="0.25">
      <c r="A107" t="s">
        <v>5</v>
      </c>
      <c r="B107" s="14" t="s">
        <v>20</v>
      </c>
      <c r="C107" t="s">
        <v>248</v>
      </c>
      <c r="D107" t="s">
        <v>5</v>
      </c>
      <c r="E107" t="s">
        <v>248</v>
      </c>
      <c r="F107" t="s">
        <v>248</v>
      </c>
      <c r="G107" t="s">
        <v>0</v>
      </c>
      <c r="H107" s="5" t="s">
        <v>130</v>
      </c>
      <c r="I107" s="14">
        <v>2023</v>
      </c>
      <c r="J107" t="s">
        <v>131</v>
      </c>
      <c r="K107" t="s">
        <v>202</v>
      </c>
      <c r="L107" t="s">
        <v>132</v>
      </c>
    </row>
    <row r="108" spans="1:12" x14ac:dyDescent="0.25">
      <c r="A108" t="s">
        <v>5</v>
      </c>
      <c r="B108" s="14" t="s">
        <v>24</v>
      </c>
      <c r="C108" t="s">
        <v>249</v>
      </c>
      <c r="D108" t="s">
        <v>5</v>
      </c>
      <c r="E108" t="s">
        <v>249</v>
      </c>
      <c r="F108" t="s">
        <v>249</v>
      </c>
      <c r="G108" t="s">
        <v>0</v>
      </c>
      <c r="H108" s="5" t="s">
        <v>130</v>
      </c>
      <c r="I108" s="14">
        <v>2023</v>
      </c>
      <c r="J108" t="s">
        <v>131</v>
      </c>
      <c r="K108" t="s">
        <v>202</v>
      </c>
      <c r="L108" t="s">
        <v>132</v>
      </c>
    </row>
    <row r="109" spans="1:12" x14ac:dyDescent="0.25">
      <c r="A109" t="s">
        <v>5</v>
      </c>
      <c r="B109" s="14" t="s">
        <v>22</v>
      </c>
      <c r="C109" t="s">
        <v>250</v>
      </c>
      <c r="D109" t="s">
        <v>5</v>
      </c>
      <c r="E109" t="s">
        <v>250</v>
      </c>
      <c r="F109" t="s">
        <v>250</v>
      </c>
      <c r="G109" t="s">
        <v>0</v>
      </c>
      <c r="H109" s="5" t="s">
        <v>130</v>
      </c>
      <c r="I109" s="14">
        <v>2023</v>
      </c>
      <c r="J109" t="s">
        <v>131</v>
      </c>
      <c r="K109" t="s">
        <v>202</v>
      </c>
      <c r="L109" t="s">
        <v>132</v>
      </c>
    </row>
    <row r="110" spans="1:12" x14ac:dyDescent="0.25">
      <c r="A110" t="s">
        <v>5</v>
      </c>
      <c r="B110" s="14" t="s">
        <v>22</v>
      </c>
      <c r="C110" t="s">
        <v>251</v>
      </c>
      <c r="D110" t="s">
        <v>5</v>
      </c>
      <c r="E110" t="s">
        <v>251</v>
      </c>
      <c r="F110" t="s">
        <v>251</v>
      </c>
      <c r="G110" t="s">
        <v>0</v>
      </c>
      <c r="H110" s="5" t="s">
        <v>130</v>
      </c>
      <c r="I110" s="14">
        <v>2023</v>
      </c>
      <c r="J110" t="s">
        <v>131</v>
      </c>
      <c r="K110" t="s">
        <v>202</v>
      </c>
      <c r="L110" t="s">
        <v>132</v>
      </c>
    </row>
    <row r="111" spans="1:12" x14ac:dyDescent="0.25">
      <c r="A111" t="s">
        <v>5</v>
      </c>
      <c r="B111" s="14" t="s">
        <v>22</v>
      </c>
      <c r="C111" t="s">
        <v>252</v>
      </c>
      <c r="D111" t="s">
        <v>5</v>
      </c>
      <c r="E111" t="s">
        <v>252</v>
      </c>
      <c r="F111" t="s">
        <v>252</v>
      </c>
      <c r="G111" t="s">
        <v>0</v>
      </c>
      <c r="H111" s="5" t="s">
        <v>130</v>
      </c>
      <c r="I111" s="14">
        <v>2023</v>
      </c>
      <c r="J111" t="s">
        <v>131</v>
      </c>
      <c r="K111" t="s">
        <v>202</v>
      </c>
      <c r="L111" t="s">
        <v>132</v>
      </c>
    </row>
    <row r="112" spans="1:12" x14ac:dyDescent="0.25">
      <c r="A112" t="s">
        <v>55</v>
      </c>
      <c r="B112" s="14" t="s">
        <v>55</v>
      </c>
      <c r="C112" t="s">
        <v>193</v>
      </c>
      <c r="D112" t="s">
        <v>55</v>
      </c>
      <c r="E112" t="s">
        <v>193</v>
      </c>
      <c r="F112" t="s">
        <v>193</v>
      </c>
      <c r="G112" t="s">
        <v>0</v>
      </c>
      <c r="H112" s="5" t="s">
        <v>130</v>
      </c>
      <c r="I112" s="14">
        <v>2023</v>
      </c>
      <c r="J112" t="s">
        <v>131</v>
      </c>
      <c r="K112" t="s">
        <v>202</v>
      </c>
      <c r="L112" t="s">
        <v>132</v>
      </c>
    </row>
    <row r="113" spans="1:12" x14ac:dyDescent="0.25">
      <c r="A113" t="s">
        <v>55</v>
      </c>
      <c r="B113" s="14" t="s">
        <v>56</v>
      </c>
      <c r="C113" t="s">
        <v>190</v>
      </c>
      <c r="D113" t="s">
        <v>55</v>
      </c>
      <c r="E113" t="s">
        <v>190</v>
      </c>
      <c r="F113" t="s">
        <v>190</v>
      </c>
      <c r="G113" t="s">
        <v>0</v>
      </c>
      <c r="H113" s="5" t="s">
        <v>130</v>
      </c>
      <c r="I113" s="14">
        <v>2023</v>
      </c>
      <c r="J113" t="s">
        <v>131</v>
      </c>
      <c r="K113" t="s">
        <v>202</v>
      </c>
      <c r="L113" t="s">
        <v>132</v>
      </c>
    </row>
    <row r="114" spans="1:12" x14ac:dyDescent="0.25">
      <c r="A114" t="s">
        <v>5</v>
      </c>
      <c r="B114" s="14" t="s">
        <v>38</v>
      </c>
      <c r="C114" t="s">
        <v>179</v>
      </c>
      <c r="D114" t="s">
        <v>5</v>
      </c>
      <c r="E114" t="s">
        <v>179</v>
      </c>
      <c r="F114" t="s">
        <v>179</v>
      </c>
      <c r="G114" t="s">
        <v>0</v>
      </c>
      <c r="H114" s="5" t="s">
        <v>130</v>
      </c>
      <c r="I114" s="14">
        <v>2023</v>
      </c>
      <c r="J114" t="s">
        <v>131</v>
      </c>
      <c r="K114" t="s">
        <v>202</v>
      </c>
      <c r="L114" t="s">
        <v>132</v>
      </c>
    </row>
    <row r="115" spans="1:12" x14ac:dyDescent="0.25">
      <c r="A115" t="s">
        <v>5</v>
      </c>
      <c r="B115" s="14" t="s">
        <v>38</v>
      </c>
      <c r="C115" t="s">
        <v>253</v>
      </c>
      <c r="D115" t="s">
        <v>5</v>
      </c>
      <c r="E115" t="s">
        <v>253</v>
      </c>
      <c r="F115" t="s">
        <v>253</v>
      </c>
      <c r="G115" t="s">
        <v>0</v>
      </c>
      <c r="H115" s="5" t="s">
        <v>130</v>
      </c>
      <c r="I115" s="14">
        <v>2023</v>
      </c>
      <c r="J115" t="s">
        <v>131</v>
      </c>
      <c r="K115" t="s">
        <v>202</v>
      </c>
      <c r="L115" t="s">
        <v>132</v>
      </c>
    </row>
    <row r="116" spans="1:12" x14ac:dyDescent="0.25">
      <c r="A116" t="s">
        <v>5</v>
      </c>
      <c r="B116" s="14" t="s">
        <v>38</v>
      </c>
      <c r="C116" t="s">
        <v>254</v>
      </c>
      <c r="D116" t="s">
        <v>5</v>
      </c>
      <c r="E116" t="s">
        <v>254</v>
      </c>
      <c r="F116" t="s">
        <v>254</v>
      </c>
      <c r="G116" t="s">
        <v>0</v>
      </c>
      <c r="H116" s="5" t="s">
        <v>130</v>
      </c>
      <c r="I116" s="14">
        <v>2023</v>
      </c>
      <c r="J116" t="s">
        <v>131</v>
      </c>
      <c r="K116" t="s">
        <v>202</v>
      </c>
      <c r="L116" t="s">
        <v>132</v>
      </c>
    </row>
    <row r="117" spans="1:12" x14ac:dyDescent="0.25">
      <c r="A117" t="s">
        <v>5</v>
      </c>
      <c r="B117" s="14" t="s">
        <v>38</v>
      </c>
      <c r="C117" t="s">
        <v>255</v>
      </c>
      <c r="D117" t="s">
        <v>5</v>
      </c>
      <c r="E117" t="s">
        <v>255</v>
      </c>
      <c r="F117" t="s">
        <v>255</v>
      </c>
      <c r="G117" t="s">
        <v>0</v>
      </c>
      <c r="H117" s="5" t="s">
        <v>130</v>
      </c>
      <c r="I117" s="14">
        <v>2023</v>
      </c>
      <c r="J117" t="s">
        <v>131</v>
      </c>
      <c r="K117" t="s">
        <v>202</v>
      </c>
      <c r="L117" t="s">
        <v>132</v>
      </c>
    </row>
    <row r="118" spans="1:12" x14ac:dyDescent="0.25">
      <c r="A118" t="s">
        <v>5</v>
      </c>
      <c r="B118" s="14" t="s">
        <v>38</v>
      </c>
      <c r="C118" t="s">
        <v>256</v>
      </c>
      <c r="D118" t="s">
        <v>5</v>
      </c>
      <c r="E118" t="s">
        <v>256</v>
      </c>
      <c r="F118" t="s">
        <v>256</v>
      </c>
      <c r="G118" t="s">
        <v>0</v>
      </c>
      <c r="H118" s="5" t="s">
        <v>130</v>
      </c>
      <c r="I118" s="14">
        <v>2023</v>
      </c>
      <c r="J118" t="s">
        <v>131</v>
      </c>
      <c r="K118" t="s">
        <v>202</v>
      </c>
      <c r="L118" t="s">
        <v>132</v>
      </c>
    </row>
    <row r="119" spans="1:12" x14ac:dyDescent="0.25">
      <c r="A119" t="s">
        <v>5</v>
      </c>
      <c r="B119" s="14" t="s">
        <v>38</v>
      </c>
      <c r="C119" t="s">
        <v>182</v>
      </c>
      <c r="D119" t="s">
        <v>5</v>
      </c>
      <c r="E119" t="s">
        <v>182</v>
      </c>
      <c r="F119" t="s">
        <v>182</v>
      </c>
      <c r="G119" t="s">
        <v>0</v>
      </c>
      <c r="H119" s="5" t="s">
        <v>130</v>
      </c>
      <c r="I119" s="14">
        <v>2023</v>
      </c>
      <c r="J119" t="s">
        <v>131</v>
      </c>
      <c r="K119" t="s">
        <v>202</v>
      </c>
      <c r="L119" t="s">
        <v>132</v>
      </c>
    </row>
    <row r="120" spans="1:12" x14ac:dyDescent="0.25">
      <c r="A120" t="s">
        <v>5</v>
      </c>
      <c r="B120" s="14" t="s">
        <v>38</v>
      </c>
      <c r="C120" t="s">
        <v>257</v>
      </c>
      <c r="D120" t="s">
        <v>5</v>
      </c>
      <c r="E120" t="s">
        <v>257</v>
      </c>
      <c r="F120" t="s">
        <v>257</v>
      </c>
      <c r="G120" t="s">
        <v>0</v>
      </c>
      <c r="H120" s="5" t="s">
        <v>130</v>
      </c>
      <c r="I120" s="14">
        <v>2023</v>
      </c>
      <c r="J120" t="s">
        <v>131</v>
      </c>
      <c r="K120" t="s">
        <v>202</v>
      </c>
      <c r="L120" t="s">
        <v>132</v>
      </c>
    </row>
    <row r="121" spans="1:12" x14ac:dyDescent="0.25">
      <c r="A121" t="s">
        <v>5</v>
      </c>
      <c r="B121" s="14" t="s">
        <v>38</v>
      </c>
      <c r="C121" t="s">
        <v>258</v>
      </c>
      <c r="D121" t="s">
        <v>5</v>
      </c>
      <c r="E121" t="s">
        <v>258</v>
      </c>
      <c r="F121" t="s">
        <v>258</v>
      </c>
      <c r="G121" t="s">
        <v>0</v>
      </c>
      <c r="H121" s="5" t="s">
        <v>130</v>
      </c>
      <c r="I121" s="14">
        <v>2023</v>
      </c>
      <c r="J121" t="s">
        <v>131</v>
      </c>
      <c r="K121" t="s">
        <v>202</v>
      </c>
      <c r="L121" t="s">
        <v>132</v>
      </c>
    </row>
    <row r="122" spans="1:12" x14ac:dyDescent="0.25">
      <c r="A122" t="s">
        <v>5</v>
      </c>
      <c r="B122" s="14" t="s">
        <v>38</v>
      </c>
      <c r="C122" t="s">
        <v>259</v>
      </c>
      <c r="D122" t="s">
        <v>5</v>
      </c>
      <c r="E122" t="s">
        <v>259</v>
      </c>
      <c r="F122" t="s">
        <v>259</v>
      </c>
      <c r="G122" t="s">
        <v>0</v>
      </c>
      <c r="H122" s="5" t="s">
        <v>130</v>
      </c>
      <c r="I122" s="14">
        <v>2023</v>
      </c>
      <c r="J122" t="s">
        <v>131</v>
      </c>
      <c r="K122" t="s">
        <v>202</v>
      </c>
      <c r="L122" t="s">
        <v>132</v>
      </c>
    </row>
    <row r="123" spans="1:12" x14ac:dyDescent="0.25">
      <c r="A123" t="s">
        <v>5</v>
      </c>
      <c r="B123" s="14" t="s">
        <v>38</v>
      </c>
      <c r="C123" t="s">
        <v>260</v>
      </c>
      <c r="D123" t="s">
        <v>5</v>
      </c>
      <c r="E123" t="s">
        <v>260</v>
      </c>
      <c r="F123" t="s">
        <v>260</v>
      </c>
      <c r="G123" t="s">
        <v>0</v>
      </c>
      <c r="H123" s="5" t="s">
        <v>130</v>
      </c>
      <c r="I123" s="14">
        <v>2023</v>
      </c>
      <c r="J123" t="s">
        <v>131</v>
      </c>
      <c r="K123" t="s">
        <v>202</v>
      </c>
      <c r="L123" t="s">
        <v>132</v>
      </c>
    </row>
    <row r="124" spans="1:12" x14ac:dyDescent="0.25">
      <c r="A124" t="s">
        <v>5</v>
      </c>
      <c r="B124" s="14" t="s">
        <v>38</v>
      </c>
      <c r="C124" t="s">
        <v>208</v>
      </c>
      <c r="D124" t="s">
        <v>5</v>
      </c>
      <c r="E124" t="s">
        <v>208</v>
      </c>
      <c r="F124" t="s">
        <v>208</v>
      </c>
      <c r="G124" t="s">
        <v>0</v>
      </c>
      <c r="H124" s="5" t="s">
        <v>130</v>
      </c>
      <c r="I124" s="14">
        <v>2023</v>
      </c>
      <c r="J124" t="s">
        <v>131</v>
      </c>
      <c r="K124" t="s">
        <v>202</v>
      </c>
      <c r="L124" t="s">
        <v>132</v>
      </c>
    </row>
    <row r="125" spans="1:12" x14ac:dyDescent="0.25">
      <c r="A125" t="s">
        <v>5</v>
      </c>
      <c r="B125" s="14" t="s">
        <v>38</v>
      </c>
      <c r="C125" t="s">
        <v>261</v>
      </c>
      <c r="D125" t="s">
        <v>5</v>
      </c>
      <c r="E125" t="s">
        <v>261</v>
      </c>
      <c r="F125" t="s">
        <v>261</v>
      </c>
      <c r="G125" t="s">
        <v>0</v>
      </c>
      <c r="H125" s="5" t="s">
        <v>130</v>
      </c>
      <c r="I125" s="14">
        <v>2023</v>
      </c>
      <c r="J125" t="s">
        <v>131</v>
      </c>
      <c r="K125" t="s">
        <v>202</v>
      </c>
      <c r="L125" t="s">
        <v>132</v>
      </c>
    </row>
    <row r="126" spans="1:12" x14ac:dyDescent="0.25">
      <c r="A126" t="s">
        <v>5</v>
      </c>
      <c r="B126" s="14" t="s">
        <v>38</v>
      </c>
      <c r="C126" t="s">
        <v>262</v>
      </c>
      <c r="D126" t="s">
        <v>5</v>
      </c>
      <c r="E126" t="s">
        <v>262</v>
      </c>
      <c r="F126" t="s">
        <v>262</v>
      </c>
      <c r="G126" t="s">
        <v>0</v>
      </c>
      <c r="H126" s="5" t="s">
        <v>130</v>
      </c>
      <c r="I126" s="14">
        <v>2023</v>
      </c>
      <c r="J126" t="s">
        <v>131</v>
      </c>
      <c r="K126" t="s">
        <v>202</v>
      </c>
      <c r="L126" t="s">
        <v>132</v>
      </c>
    </row>
    <row r="127" spans="1:12" x14ac:dyDescent="0.25">
      <c r="A127" t="s">
        <v>5</v>
      </c>
      <c r="B127" s="14" t="s">
        <v>38</v>
      </c>
      <c r="C127" t="s">
        <v>263</v>
      </c>
      <c r="D127" t="s">
        <v>5</v>
      </c>
      <c r="E127" t="s">
        <v>263</v>
      </c>
      <c r="F127" t="s">
        <v>263</v>
      </c>
      <c r="G127" t="s">
        <v>0</v>
      </c>
      <c r="H127" s="5" t="s">
        <v>130</v>
      </c>
      <c r="I127" s="14">
        <v>2023</v>
      </c>
      <c r="J127" t="s">
        <v>131</v>
      </c>
      <c r="K127" t="s">
        <v>202</v>
      </c>
      <c r="L127" t="s">
        <v>132</v>
      </c>
    </row>
    <row r="128" spans="1:12" x14ac:dyDescent="0.25">
      <c r="A128" t="s">
        <v>5</v>
      </c>
      <c r="B128" s="14" t="s">
        <v>38</v>
      </c>
      <c r="C128" t="s">
        <v>264</v>
      </c>
      <c r="D128" t="s">
        <v>5</v>
      </c>
      <c r="E128" t="s">
        <v>264</v>
      </c>
      <c r="F128" t="s">
        <v>264</v>
      </c>
      <c r="G128" t="s">
        <v>0</v>
      </c>
      <c r="H128" s="5" t="s">
        <v>130</v>
      </c>
      <c r="I128" s="14">
        <v>2023</v>
      </c>
      <c r="J128" t="s">
        <v>131</v>
      </c>
      <c r="K128" t="s">
        <v>202</v>
      </c>
      <c r="L128" t="s">
        <v>132</v>
      </c>
    </row>
    <row r="129" spans="1:12" x14ac:dyDescent="0.25">
      <c r="A129" t="s">
        <v>5</v>
      </c>
      <c r="B129" s="14" t="s">
        <v>38</v>
      </c>
      <c r="C129" t="s">
        <v>265</v>
      </c>
      <c r="D129" t="s">
        <v>5</v>
      </c>
      <c r="E129" t="s">
        <v>265</v>
      </c>
      <c r="F129" t="s">
        <v>265</v>
      </c>
      <c r="G129" t="s">
        <v>0</v>
      </c>
      <c r="H129" s="5" t="s">
        <v>130</v>
      </c>
      <c r="I129" s="14">
        <v>2023</v>
      </c>
      <c r="J129" t="s">
        <v>131</v>
      </c>
      <c r="K129" t="s">
        <v>202</v>
      </c>
      <c r="L129" t="s">
        <v>132</v>
      </c>
    </row>
    <row r="130" spans="1:12" x14ac:dyDescent="0.25">
      <c r="A130" t="s">
        <v>5</v>
      </c>
      <c r="B130" s="14" t="s">
        <v>38</v>
      </c>
      <c r="C130" t="s">
        <v>204</v>
      </c>
      <c r="D130" t="s">
        <v>5</v>
      </c>
      <c r="E130" t="s">
        <v>204</v>
      </c>
      <c r="F130" t="s">
        <v>204</v>
      </c>
      <c r="G130" t="s">
        <v>0</v>
      </c>
      <c r="H130" s="5" t="s">
        <v>130</v>
      </c>
      <c r="I130" s="14">
        <v>2023</v>
      </c>
      <c r="J130" t="s">
        <v>131</v>
      </c>
      <c r="K130" t="s">
        <v>202</v>
      </c>
      <c r="L130" t="s">
        <v>132</v>
      </c>
    </row>
    <row r="131" spans="1:12" x14ac:dyDescent="0.25">
      <c r="A131" t="s">
        <v>5</v>
      </c>
      <c r="B131" s="14" t="s">
        <v>38</v>
      </c>
      <c r="C131" t="s">
        <v>266</v>
      </c>
      <c r="D131" t="s">
        <v>5</v>
      </c>
      <c r="E131" t="s">
        <v>266</v>
      </c>
      <c r="F131" t="s">
        <v>266</v>
      </c>
      <c r="G131" t="s">
        <v>0</v>
      </c>
      <c r="H131" s="5" t="s">
        <v>130</v>
      </c>
      <c r="I131" s="14">
        <v>2023</v>
      </c>
      <c r="J131" t="s">
        <v>131</v>
      </c>
      <c r="K131" t="s">
        <v>202</v>
      </c>
      <c r="L131" t="s">
        <v>132</v>
      </c>
    </row>
    <row r="132" spans="1:12" x14ac:dyDescent="0.25">
      <c r="A132" t="s">
        <v>5</v>
      </c>
      <c r="B132" s="14" t="s">
        <v>44</v>
      </c>
      <c r="C132" t="s">
        <v>267</v>
      </c>
      <c r="D132" t="s">
        <v>5</v>
      </c>
      <c r="E132" t="s">
        <v>267</v>
      </c>
      <c r="F132" t="s">
        <v>267</v>
      </c>
      <c r="G132" t="s">
        <v>0</v>
      </c>
      <c r="H132" s="5" t="s">
        <v>130</v>
      </c>
      <c r="I132" s="14">
        <v>2023</v>
      </c>
      <c r="J132" t="s">
        <v>131</v>
      </c>
      <c r="K132" t="s">
        <v>202</v>
      </c>
      <c r="L132" t="s">
        <v>132</v>
      </c>
    </row>
    <row r="133" spans="1:12" x14ac:dyDescent="0.25">
      <c r="A133" t="s">
        <v>5</v>
      </c>
      <c r="B133" s="14" t="s">
        <v>44</v>
      </c>
      <c r="C133" t="s">
        <v>197</v>
      </c>
      <c r="D133" t="s">
        <v>5</v>
      </c>
      <c r="E133" t="s">
        <v>197</v>
      </c>
      <c r="F133" t="s">
        <v>197</v>
      </c>
      <c r="G133" t="s">
        <v>0</v>
      </c>
      <c r="H133" s="5" t="s">
        <v>130</v>
      </c>
      <c r="I133" s="14">
        <v>2023</v>
      </c>
      <c r="J133" t="s">
        <v>131</v>
      </c>
      <c r="K133" t="s">
        <v>202</v>
      </c>
      <c r="L133" t="s">
        <v>132</v>
      </c>
    </row>
    <row r="134" spans="1:12" x14ac:dyDescent="0.25">
      <c r="A134" t="s">
        <v>5</v>
      </c>
      <c r="B134" s="14" t="s">
        <v>44</v>
      </c>
      <c r="C134" t="s">
        <v>268</v>
      </c>
      <c r="D134" t="s">
        <v>5</v>
      </c>
      <c r="E134" t="s">
        <v>268</v>
      </c>
      <c r="F134" t="s">
        <v>268</v>
      </c>
      <c r="G134" t="s">
        <v>0</v>
      </c>
      <c r="H134" s="5" t="s">
        <v>130</v>
      </c>
      <c r="I134" s="14">
        <v>2023</v>
      </c>
      <c r="J134" t="s">
        <v>131</v>
      </c>
      <c r="K134" t="s">
        <v>202</v>
      </c>
      <c r="L134" t="s">
        <v>132</v>
      </c>
    </row>
    <row r="135" spans="1:12" x14ac:dyDescent="0.25">
      <c r="A135" t="s">
        <v>5</v>
      </c>
      <c r="B135" s="14" t="s">
        <v>44</v>
      </c>
      <c r="C135" t="s">
        <v>269</v>
      </c>
      <c r="D135" t="s">
        <v>5</v>
      </c>
      <c r="E135" t="s">
        <v>269</v>
      </c>
      <c r="F135" t="s">
        <v>269</v>
      </c>
      <c r="G135" t="s">
        <v>0</v>
      </c>
      <c r="H135" s="5" t="s">
        <v>130</v>
      </c>
      <c r="I135" s="14">
        <v>2023</v>
      </c>
      <c r="J135" t="s">
        <v>131</v>
      </c>
      <c r="K135" t="s">
        <v>202</v>
      </c>
      <c r="L135" t="s">
        <v>132</v>
      </c>
    </row>
    <row r="136" spans="1:12" x14ac:dyDescent="0.25">
      <c r="A136" t="s">
        <v>5</v>
      </c>
      <c r="B136" s="14" t="s">
        <v>28</v>
      </c>
      <c r="C136" t="s">
        <v>270</v>
      </c>
      <c r="D136" t="s">
        <v>5</v>
      </c>
      <c r="E136" t="s">
        <v>270</v>
      </c>
      <c r="F136" t="s">
        <v>270</v>
      </c>
      <c r="G136" t="s">
        <v>0</v>
      </c>
      <c r="H136" s="5" t="s">
        <v>130</v>
      </c>
      <c r="I136" s="14">
        <v>2023</v>
      </c>
      <c r="J136" t="s">
        <v>131</v>
      </c>
      <c r="K136" t="s">
        <v>202</v>
      </c>
      <c r="L136" t="s">
        <v>132</v>
      </c>
    </row>
    <row r="137" spans="1:12" x14ac:dyDescent="0.25">
      <c r="A137" t="s">
        <v>5</v>
      </c>
      <c r="B137" s="14" t="s">
        <v>40</v>
      </c>
      <c r="C137" t="s">
        <v>271</v>
      </c>
      <c r="D137" t="s">
        <v>5</v>
      </c>
      <c r="E137" t="s">
        <v>271</v>
      </c>
      <c r="F137" t="s">
        <v>271</v>
      </c>
      <c r="G137" t="s">
        <v>0</v>
      </c>
      <c r="H137" s="5" t="s">
        <v>130</v>
      </c>
      <c r="I137" s="14">
        <v>2023</v>
      </c>
      <c r="J137" t="s">
        <v>131</v>
      </c>
      <c r="K137" t="s">
        <v>202</v>
      </c>
      <c r="L137" t="s">
        <v>132</v>
      </c>
    </row>
    <row r="138" spans="1:12" x14ac:dyDescent="0.25">
      <c r="A138" t="s">
        <v>5</v>
      </c>
      <c r="B138" s="14" t="s">
        <v>17</v>
      </c>
      <c r="C138" t="s">
        <v>272</v>
      </c>
      <c r="D138" t="s">
        <v>5</v>
      </c>
      <c r="E138" t="s">
        <v>272</v>
      </c>
      <c r="F138" t="s">
        <v>272</v>
      </c>
      <c r="G138" t="s">
        <v>0</v>
      </c>
      <c r="H138" s="5" t="s">
        <v>130</v>
      </c>
      <c r="I138" s="14">
        <v>2023</v>
      </c>
      <c r="J138" t="s">
        <v>131</v>
      </c>
      <c r="K138" t="s">
        <v>202</v>
      </c>
      <c r="L138" t="s">
        <v>132</v>
      </c>
    </row>
    <row r="139" spans="1:12" x14ac:dyDescent="0.25">
      <c r="A139" t="s">
        <v>5</v>
      </c>
      <c r="B139" s="14" t="s">
        <v>17</v>
      </c>
      <c r="C139" t="s">
        <v>273</v>
      </c>
      <c r="D139" t="s">
        <v>5</v>
      </c>
      <c r="E139" t="s">
        <v>273</v>
      </c>
      <c r="F139" t="s">
        <v>273</v>
      </c>
      <c r="G139" t="s">
        <v>0</v>
      </c>
      <c r="H139" s="5" t="s">
        <v>130</v>
      </c>
      <c r="I139" s="14">
        <v>2023</v>
      </c>
      <c r="J139" t="s">
        <v>131</v>
      </c>
      <c r="K139" t="s">
        <v>202</v>
      </c>
      <c r="L139" t="s">
        <v>132</v>
      </c>
    </row>
    <row r="140" spans="1:12" x14ac:dyDescent="0.25">
      <c r="A140" t="s">
        <v>5</v>
      </c>
      <c r="B140" s="14" t="s">
        <v>17</v>
      </c>
      <c r="C140" t="s">
        <v>187</v>
      </c>
      <c r="D140" t="s">
        <v>5</v>
      </c>
      <c r="E140" t="s">
        <v>187</v>
      </c>
      <c r="F140" t="s">
        <v>187</v>
      </c>
      <c r="G140" t="s">
        <v>0</v>
      </c>
      <c r="H140" s="5" t="s">
        <v>130</v>
      </c>
      <c r="I140" s="14">
        <v>2023</v>
      </c>
      <c r="J140" t="s">
        <v>131</v>
      </c>
      <c r="K140" t="s">
        <v>202</v>
      </c>
      <c r="L140" t="s">
        <v>132</v>
      </c>
    </row>
    <row r="141" spans="1:12" x14ac:dyDescent="0.25">
      <c r="A141" t="s">
        <v>5</v>
      </c>
      <c r="B141" s="14" t="s">
        <v>17</v>
      </c>
      <c r="C141" t="s">
        <v>274</v>
      </c>
      <c r="D141" t="s">
        <v>5</v>
      </c>
      <c r="E141" t="s">
        <v>274</v>
      </c>
      <c r="F141" t="s">
        <v>274</v>
      </c>
      <c r="G141" t="s">
        <v>0</v>
      </c>
      <c r="H141" s="5" t="s">
        <v>130</v>
      </c>
      <c r="I141" s="14">
        <v>2023</v>
      </c>
      <c r="J141" t="s">
        <v>131</v>
      </c>
      <c r="K141" t="s">
        <v>202</v>
      </c>
      <c r="L141" t="s">
        <v>132</v>
      </c>
    </row>
    <row r="142" spans="1:12" x14ac:dyDescent="0.25">
      <c r="A142" t="s">
        <v>5</v>
      </c>
      <c r="B142" s="14" t="s">
        <v>17</v>
      </c>
      <c r="C142" t="s">
        <v>186</v>
      </c>
      <c r="D142" t="s">
        <v>5</v>
      </c>
      <c r="E142" t="s">
        <v>186</v>
      </c>
      <c r="F142" t="s">
        <v>186</v>
      </c>
      <c r="G142" t="s">
        <v>0</v>
      </c>
      <c r="H142" s="5" t="s">
        <v>130</v>
      </c>
      <c r="I142" s="14">
        <v>2023</v>
      </c>
      <c r="J142" t="s">
        <v>131</v>
      </c>
      <c r="K142" t="s">
        <v>202</v>
      </c>
      <c r="L142" t="s">
        <v>132</v>
      </c>
    </row>
    <row r="143" spans="1:12" x14ac:dyDescent="0.25">
      <c r="A143" t="s">
        <v>5</v>
      </c>
      <c r="B143" s="14" t="s">
        <v>275</v>
      </c>
      <c r="C143" t="s">
        <v>276</v>
      </c>
      <c r="D143" t="s">
        <v>5</v>
      </c>
      <c r="E143" t="s">
        <v>276</v>
      </c>
      <c r="F143" t="s">
        <v>276</v>
      </c>
      <c r="G143" t="s">
        <v>0</v>
      </c>
      <c r="H143" s="5" t="s">
        <v>130</v>
      </c>
      <c r="I143" s="14">
        <v>2023</v>
      </c>
      <c r="J143" t="s">
        <v>131</v>
      </c>
      <c r="K143" t="s">
        <v>202</v>
      </c>
      <c r="L143" t="s">
        <v>132</v>
      </c>
    </row>
    <row r="144" spans="1:12" x14ac:dyDescent="0.25">
      <c r="A144" t="s">
        <v>5</v>
      </c>
      <c r="B144" s="14" t="s">
        <v>275</v>
      </c>
      <c r="C144" t="s">
        <v>277</v>
      </c>
      <c r="D144" t="s">
        <v>5</v>
      </c>
      <c r="E144" t="s">
        <v>277</v>
      </c>
      <c r="F144" t="s">
        <v>277</v>
      </c>
      <c r="G144" t="s">
        <v>0</v>
      </c>
      <c r="H144" s="5" t="s">
        <v>130</v>
      </c>
      <c r="I144" s="14">
        <v>2023</v>
      </c>
      <c r="J144" t="s">
        <v>131</v>
      </c>
      <c r="K144" t="s">
        <v>202</v>
      </c>
      <c r="L144" t="s">
        <v>132</v>
      </c>
    </row>
    <row r="145" spans="1:12" x14ac:dyDescent="0.25">
      <c r="A145" t="s">
        <v>5</v>
      </c>
      <c r="B145" s="14" t="s">
        <v>90</v>
      </c>
      <c r="C145" t="s">
        <v>278</v>
      </c>
      <c r="D145" t="s">
        <v>5</v>
      </c>
      <c r="E145" t="s">
        <v>278</v>
      </c>
      <c r="F145" t="s">
        <v>278</v>
      </c>
      <c r="G145" t="s">
        <v>0</v>
      </c>
      <c r="H145" s="5" t="s">
        <v>130</v>
      </c>
      <c r="I145" s="14">
        <v>2023</v>
      </c>
      <c r="J145" t="s">
        <v>131</v>
      </c>
      <c r="K145" t="s">
        <v>202</v>
      </c>
      <c r="L145" t="s">
        <v>132</v>
      </c>
    </row>
    <row r="146" spans="1:12" x14ac:dyDescent="0.25">
      <c r="A146" t="s">
        <v>5</v>
      </c>
      <c r="B146" s="14" t="s">
        <v>90</v>
      </c>
      <c r="C146" t="s">
        <v>279</v>
      </c>
      <c r="D146" t="s">
        <v>5</v>
      </c>
      <c r="E146" t="s">
        <v>279</v>
      </c>
      <c r="F146" t="s">
        <v>279</v>
      </c>
      <c r="G146" t="s">
        <v>0</v>
      </c>
      <c r="H146" s="5" t="s">
        <v>130</v>
      </c>
      <c r="I146" s="14">
        <v>2023</v>
      </c>
      <c r="J146" t="s">
        <v>131</v>
      </c>
      <c r="K146" t="s">
        <v>202</v>
      </c>
      <c r="L146" t="s">
        <v>132</v>
      </c>
    </row>
    <row r="147" spans="1:12" x14ac:dyDescent="0.25">
      <c r="A147" t="s">
        <v>5</v>
      </c>
      <c r="B147" s="14" t="s">
        <v>45</v>
      </c>
      <c r="C147" t="s">
        <v>280</v>
      </c>
      <c r="D147" t="s">
        <v>5</v>
      </c>
      <c r="E147" t="s">
        <v>280</v>
      </c>
      <c r="F147" t="s">
        <v>280</v>
      </c>
      <c r="G147" t="s">
        <v>0</v>
      </c>
      <c r="H147" s="5" t="s">
        <v>130</v>
      </c>
      <c r="I147" s="14">
        <v>2023</v>
      </c>
      <c r="J147" t="s">
        <v>131</v>
      </c>
      <c r="K147" t="s">
        <v>202</v>
      </c>
      <c r="L147" t="s">
        <v>132</v>
      </c>
    </row>
    <row r="148" spans="1:12" x14ac:dyDescent="0.25">
      <c r="A148" t="s">
        <v>5</v>
      </c>
      <c r="B148" s="14" t="s">
        <v>45</v>
      </c>
      <c r="C148" t="s">
        <v>183</v>
      </c>
      <c r="D148" t="s">
        <v>5</v>
      </c>
      <c r="E148" t="s">
        <v>183</v>
      </c>
      <c r="F148" t="s">
        <v>183</v>
      </c>
      <c r="G148" t="s">
        <v>0</v>
      </c>
      <c r="H148" s="5" t="s">
        <v>130</v>
      </c>
      <c r="I148" s="14">
        <v>2023</v>
      </c>
      <c r="J148" t="s">
        <v>131</v>
      </c>
      <c r="K148" t="s">
        <v>202</v>
      </c>
      <c r="L148" t="s">
        <v>132</v>
      </c>
    </row>
    <row r="149" spans="1:12" x14ac:dyDescent="0.25">
      <c r="A149" t="s">
        <v>5</v>
      </c>
      <c r="B149" s="14" t="s">
        <v>31</v>
      </c>
      <c r="C149" t="s">
        <v>281</v>
      </c>
      <c r="D149" t="s">
        <v>5</v>
      </c>
      <c r="E149" t="s">
        <v>281</v>
      </c>
      <c r="F149" t="s">
        <v>281</v>
      </c>
      <c r="G149" t="s">
        <v>0</v>
      </c>
      <c r="H149" s="5" t="s">
        <v>130</v>
      </c>
      <c r="I149" s="14">
        <v>2023</v>
      </c>
      <c r="J149" t="s">
        <v>131</v>
      </c>
      <c r="K149" t="s">
        <v>202</v>
      </c>
      <c r="L149" t="s">
        <v>132</v>
      </c>
    </row>
    <row r="150" spans="1:12" x14ac:dyDescent="0.25">
      <c r="A150" t="s">
        <v>5</v>
      </c>
      <c r="B150" s="14" t="s">
        <v>32</v>
      </c>
      <c r="C150" t="s">
        <v>282</v>
      </c>
      <c r="D150" t="s">
        <v>5</v>
      </c>
      <c r="E150" t="s">
        <v>282</v>
      </c>
      <c r="F150" t="s">
        <v>282</v>
      </c>
      <c r="G150" t="s">
        <v>0</v>
      </c>
      <c r="H150" s="5" t="s">
        <v>130</v>
      </c>
      <c r="I150" s="14">
        <v>2023</v>
      </c>
      <c r="J150" t="s">
        <v>131</v>
      </c>
      <c r="K150" t="s">
        <v>202</v>
      </c>
      <c r="L150" t="s">
        <v>132</v>
      </c>
    </row>
    <row r="151" spans="1:12" x14ac:dyDescent="0.25">
      <c r="A151" t="s">
        <v>5</v>
      </c>
      <c r="B151" s="14" t="s">
        <v>14</v>
      </c>
      <c r="C151" t="s">
        <v>210</v>
      </c>
      <c r="D151" t="s">
        <v>5</v>
      </c>
      <c r="E151" t="s">
        <v>210</v>
      </c>
      <c r="F151" t="s">
        <v>210</v>
      </c>
      <c r="G151" t="s">
        <v>0</v>
      </c>
      <c r="H151" s="5" t="s">
        <v>130</v>
      </c>
      <c r="I151" s="14">
        <v>2023</v>
      </c>
      <c r="J151" t="s">
        <v>131</v>
      </c>
      <c r="K151" t="s">
        <v>202</v>
      </c>
      <c r="L151" t="s">
        <v>132</v>
      </c>
    </row>
    <row r="152" spans="1:12" x14ac:dyDescent="0.25">
      <c r="A152" t="s">
        <v>5</v>
      </c>
      <c r="B152" s="14" t="s">
        <v>29</v>
      </c>
      <c r="C152" t="s">
        <v>283</v>
      </c>
      <c r="D152" t="s">
        <v>5</v>
      </c>
      <c r="E152" t="s">
        <v>283</v>
      </c>
      <c r="F152" t="s">
        <v>283</v>
      </c>
      <c r="G152" t="s">
        <v>0</v>
      </c>
      <c r="H152" s="5" t="s">
        <v>130</v>
      </c>
      <c r="I152" s="14">
        <v>2023</v>
      </c>
      <c r="J152" t="s">
        <v>131</v>
      </c>
      <c r="K152" t="s">
        <v>202</v>
      </c>
      <c r="L152" t="s">
        <v>132</v>
      </c>
    </row>
    <row r="153" spans="1:12" x14ac:dyDescent="0.25">
      <c r="A153" t="s">
        <v>5</v>
      </c>
      <c r="B153" s="14" t="s">
        <v>29</v>
      </c>
      <c r="C153" t="s">
        <v>284</v>
      </c>
      <c r="D153" t="s">
        <v>5</v>
      </c>
      <c r="E153" t="s">
        <v>284</v>
      </c>
      <c r="F153" t="s">
        <v>284</v>
      </c>
      <c r="G153" t="s">
        <v>0</v>
      </c>
      <c r="H153" s="5" t="s">
        <v>130</v>
      </c>
      <c r="I153" s="14">
        <v>2023</v>
      </c>
      <c r="J153" t="s">
        <v>131</v>
      </c>
      <c r="K153" t="s">
        <v>202</v>
      </c>
      <c r="L153" t="s">
        <v>132</v>
      </c>
    </row>
    <row r="154" spans="1:12" x14ac:dyDescent="0.25">
      <c r="A154" t="s">
        <v>5</v>
      </c>
      <c r="B154" s="14" t="s">
        <v>29</v>
      </c>
      <c r="C154" t="s">
        <v>285</v>
      </c>
      <c r="D154" t="s">
        <v>5</v>
      </c>
      <c r="E154" t="s">
        <v>285</v>
      </c>
      <c r="F154" t="s">
        <v>285</v>
      </c>
      <c r="G154" t="s">
        <v>0</v>
      </c>
      <c r="H154" s="5" t="s">
        <v>130</v>
      </c>
      <c r="I154" s="14">
        <v>2023</v>
      </c>
      <c r="J154" t="s">
        <v>131</v>
      </c>
      <c r="K154" t="s">
        <v>202</v>
      </c>
      <c r="L154" t="s">
        <v>132</v>
      </c>
    </row>
    <row r="155" spans="1:12" x14ac:dyDescent="0.25">
      <c r="A155" t="s">
        <v>5</v>
      </c>
      <c r="B155" s="14" t="s">
        <v>38</v>
      </c>
      <c r="C155" t="s">
        <v>286</v>
      </c>
      <c r="D155" t="s">
        <v>5</v>
      </c>
      <c r="E155" t="s">
        <v>286</v>
      </c>
      <c r="F155" t="s">
        <v>286</v>
      </c>
      <c r="G155" t="s">
        <v>0</v>
      </c>
      <c r="H155" s="5" t="s">
        <v>130</v>
      </c>
      <c r="I155" s="14">
        <v>2023</v>
      </c>
      <c r="J155" t="s">
        <v>131</v>
      </c>
      <c r="K155" t="s">
        <v>202</v>
      </c>
      <c r="L155" t="s">
        <v>132</v>
      </c>
    </row>
    <row r="156" spans="1:12" x14ac:dyDescent="0.25">
      <c r="A156" t="s">
        <v>5</v>
      </c>
      <c r="B156" s="14" t="s">
        <v>38</v>
      </c>
      <c r="C156" t="s">
        <v>287</v>
      </c>
      <c r="D156" t="s">
        <v>5</v>
      </c>
      <c r="E156" t="s">
        <v>287</v>
      </c>
      <c r="F156" t="s">
        <v>287</v>
      </c>
      <c r="G156" t="s">
        <v>0</v>
      </c>
      <c r="H156" s="5" t="s">
        <v>130</v>
      </c>
      <c r="I156" s="14">
        <v>2023</v>
      </c>
      <c r="J156" t="s">
        <v>131</v>
      </c>
      <c r="K156" t="s">
        <v>202</v>
      </c>
      <c r="L156" t="s">
        <v>132</v>
      </c>
    </row>
    <row r="157" spans="1:12" x14ac:dyDescent="0.25">
      <c r="A157" t="s">
        <v>5</v>
      </c>
      <c r="B157" s="14" t="s">
        <v>38</v>
      </c>
      <c r="C157" t="s">
        <v>288</v>
      </c>
      <c r="D157" t="s">
        <v>5</v>
      </c>
      <c r="E157" t="s">
        <v>288</v>
      </c>
      <c r="F157" t="s">
        <v>288</v>
      </c>
      <c r="G157" t="s">
        <v>0</v>
      </c>
      <c r="H157" s="5" t="s">
        <v>130</v>
      </c>
      <c r="I157" s="14">
        <v>2023</v>
      </c>
      <c r="J157" t="s">
        <v>131</v>
      </c>
      <c r="K157" t="s">
        <v>202</v>
      </c>
      <c r="L157" t="s">
        <v>132</v>
      </c>
    </row>
    <row r="158" spans="1:12" x14ac:dyDescent="0.25">
      <c r="A158" t="s">
        <v>5</v>
      </c>
      <c r="B158" s="14" t="s">
        <v>38</v>
      </c>
      <c r="C158" t="s">
        <v>289</v>
      </c>
      <c r="D158" t="s">
        <v>5</v>
      </c>
      <c r="E158" t="s">
        <v>289</v>
      </c>
      <c r="F158" t="s">
        <v>289</v>
      </c>
      <c r="G158" t="s">
        <v>0</v>
      </c>
      <c r="H158" s="5" t="s">
        <v>130</v>
      </c>
      <c r="I158" s="14">
        <v>2023</v>
      </c>
      <c r="J158" t="s">
        <v>131</v>
      </c>
      <c r="K158" t="s">
        <v>202</v>
      </c>
      <c r="L158" t="s">
        <v>132</v>
      </c>
    </row>
    <row r="159" spans="1:12" x14ac:dyDescent="0.25">
      <c r="A159" t="s">
        <v>5</v>
      </c>
      <c r="B159" s="14" t="s">
        <v>38</v>
      </c>
      <c r="C159" t="s">
        <v>205</v>
      </c>
      <c r="D159" t="s">
        <v>5</v>
      </c>
      <c r="E159" t="s">
        <v>205</v>
      </c>
      <c r="F159" t="s">
        <v>205</v>
      </c>
      <c r="G159" t="s">
        <v>0</v>
      </c>
      <c r="H159" s="5" t="s">
        <v>130</v>
      </c>
      <c r="I159" s="14">
        <v>2023</v>
      </c>
      <c r="J159" t="s">
        <v>131</v>
      </c>
      <c r="K159" t="s">
        <v>202</v>
      </c>
      <c r="L159" t="s">
        <v>132</v>
      </c>
    </row>
    <row r="160" spans="1:12" x14ac:dyDescent="0.25">
      <c r="A160" t="s">
        <v>5</v>
      </c>
      <c r="B160" s="14" t="s">
        <v>38</v>
      </c>
      <c r="C160" t="s">
        <v>290</v>
      </c>
      <c r="D160" t="s">
        <v>5</v>
      </c>
      <c r="E160" t="s">
        <v>290</v>
      </c>
      <c r="F160" t="s">
        <v>290</v>
      </c>
      <c r="G160" t="s">
        <v>0</v>
      </c>
      <c r="H160" s="5" t="s">
        <v>130</v>
      </c>
      <c r="I160" s="14">
        <v>2023</v>
      </c>
      <c r="J160" t="s">
        <v>131</v>
      </c>
      <c r="K160" t="s">
        <v>202</v>
      </c>
      <c r="L160" t="s">
        <v>132</v>
      </c>
    </row>
    <row r="161" spans="1:12" x14ac:dyDescent="0.25">
      <c r="A161" t="s">
        <v>5</v>
      </c>
      <c r="B161" s="14" t="s">
        <v>38</v>
      </c>
      <c r="C161" t="s">
        <v>291</v>
      </c>
      <c r="D161" t="s">
        <v>5</v>
      </c>
      <c r="E161" t="s">
        <v>291</v>
      </c>
      <c r="F161" t="s">
        <v>291</v>
      </c>
      <c r="G161" t="s">
        <v>0</v>
      </c>
      <c r="H161" s="5" t="s">
        <v>130</v>
      </c>
      <c r="I161" s="14">
        <v>2023</v>
      </c>
      <c r="J161" t="s">
        <v>131</v>
      </c>
      <c r="K161" t="s">
        <v>202</v>
      </c>
      <c r="L161" t="s">
        <v>132</v>
      </c>
    </row>
    <row r="162" spans="1:12" x14ac:dyDescent="0.25">
      <c r="A162" t="s">
        <v>5</v>
      </c>
      <c r="B162" s="14" t="s">
        <v>38</v>
      </c>
      <c r="C162" t="s">
        <v>292</v>
      </c>
      <c r="D162" t="s">
        <v>5</v>
      </c>
      <c r="E162" t="s">
        <v>292</v>
      </c>
      <c r="F162" t="s">
        <v>292</v>
      </c>
      <c r="G162" t="s">
        <v>0</v>
      </c>
      <c r="H162" s="5" t="s">
        <v>130</v>
      </c>
      <c r="I162" s="14">
        <v>2023</v>
      </c>
      <c r="J162" t="s">
        <v>131</v>
      </c>
      <c r="K162" t="s">
        <v>202</v>
      </c>
      <c r="L162" t="s">
        <v>132</v>
      </c>
    </row>
    <row r="163" spans="1:12" x14ac:dyDescent="0.25">
      <c r="A163" t="s">
        <v>5</v>
      </c>
      <c r="B163" s="14" t="s">
        <v>38</v>
      </c>
      <c r="C163" t="s">
        <v>293</v>
      </c>
      <c r="D163" t="s">
        <v>5</v>
      </c>
      <c r="E163" t="s">
        <v>293</v>
      </c>
      <c r="F163" t="s">
        <v>293</v>
      </c>
      <c r="G163" t="s">
        <v>0</v>
      </c>
      <c r="H163" s="5" t="s">
        <v>130</v>
      </c>
      <c r="I163" s="14">
        <v>2023</v>
      </c>
      <c r="J163" t="s">
        <v>131</v>
      </c>
      <c r="K163" t="s">
        <v>202</v>
      </c>
      <c r="L163" t="s">
        <v>132</v>
      </c>
    </row>
    <row r="164" spans="1:12" x14ac:dyDescent="0.25">
      <c r="A164" t="s">
        <v>5</v>
      </c>
      <c r="B164" s="14" t="s">
        <v>38</v>
      </c>
      <c r="C164" t="s">
        <v>294</v>
      </c>
      <c r="D164" t="s">
        <v>5</v>
      </c>
      <c r="E164" t="s">
        <v>294</v>
      </c>
      <c r="F164" t="s">
        <v>294</v>
      </c>
      <c r="G164" t="s">
        <v>0</v>
      </c>
      <c r="H164" s="5" t="s">
        <v>130</v>
      </c>
      <c r="I164" s="14">
        <v>2023</v>
      </c>
      <c r="J164" t="s">
        <v>131</v>
      </c>
      <c r="K164" t="s">
        <v>202</v>
      </c>
      <c r="L164" t="s">
        <v>132</v>
      </c>
    </row>
    <row r="165" spans="1:12" x14ac:dyDescent="0.25">
      <c r="A165" t="s">
        <v>5</v>
      </c>
      <c r="B165" s="14" t="s">
        <v>38</v>
      </c>
      <c r="C165" t="s">
        <v>295</v>
      </c>
      <c r="D165" t="s">
        <v>5</v>
      </c>
      <c r="E165" t="s">
        <v>295</v>
      </c>
      <c r="F165" t="s">
        <v>295</v>
      </c>
      <c r="G165" t="s">
        <v>0</v>
      </c>
      <c r="H165" s="5" t="s">
        <v>130</v>
      </c>
      <c r="I165" s="14">
        <v>2023</v>
      </c>
      <c r="J165" t="s">
        <v>131</v>
      </c>
      <c r="K165" t="s">
        <v>202</v>
      </c>
      <c r="L165" t="s">
        <v>132</v>
      </c>
    </row>
    <row r="166" spans="1:12" x14ac:dyDescent="0.25">
      <c r="A166" t="s">
        <v>5</v>
      </c>
      <c r="B166" s="14" t="s">
        <v>38</v>
      </c>
      <c r="C166" t="s">
        <v>296</v>
      </c>
      <c r="D166" t="s">
        <v>5</v>
      </c>
      <c r="E166" t="s">
        <v>296</v>
      </c>
      <c r="F166" t="s">
        <v>296</v>
      </c>
      <c r="G166" t="s">
        <v>0</v>
      </c>
      <c r="H166" s="5" t="s">
        <v>130</v>
      </c>
      <c r="I166" s="14">
        <v>2023</v>
      </c>
      <c r="J166" t="s">
        <v>131</v>
      </c>
      <c r="K166" t="s">
        <v>202</v>
      </c>
      <c r="L166" t="s">
        <v>132</v>
      </c>
    </row>
    <row r="167" spans="1:12" x14ac:dyDescent="0.25">
      <c r="A167" t="s">
        <v>5</v>
      </c>
      <c r="B167" s="14" t="s">
        <v>38</v>
      </c>
      <c r="C167" t="s">
        <v>297</v>
      </c>
      <c r="D167" t="s">
        <v>5</v>
      </c>
      <c r="E167" t="s">
        <v>297</v>
      </c>
      <c r="F167" s="39" t="s">
        <v>297</v>
      </c>
      <c r="G167" t="s">
        <v>0</v>
      </c>
      <c r="H167" s="5" t="s">
        <v>130</v>
      </c>
      <c r="I167" s="14">
        <v>2023</v>
      </c>
      <c r="J167" t="s">
        <v>131</v>
      </c>
      <c r="K167" t="s">
        <v>202</v>
      </c>
      <c r="L167" t="s">
        <v>132</v>
      </c>
    </row>
    <row r="168" spans="1:12" x14ac:dyDescent="0.25">
      <c r="A168" t="s">
        <v>5</v>
      </c>
      <c r="B168" s="14" t="s">
        <v>38</v>
      </c>
      <c r="C168" t="s">
        <v>298</v>
      </c>
      <c r="D168" t="s">
        <v>5</v>
      </c>
      <c r="E168" t="s">
        <v>298</v>
      </c>
      <c r="F168" t="s">
        <v>298</v>
      </c>
      <c r="G168" t="s">
        <v>0</v>
      </c>
      <c r="H168" s="5" t="s">
        <v>130</v>
      </c>
      <c r="I168" s="14">
        <v>2023</v>
      </c>
      <c r="J168" t="s">
        <v>131</v>
      </c>
      <c r="K168" t="s">
        <v>202</v>
      </c>
      <c r="L168" t="s">
        <v>132</v>
      </c>
    </row>
    <row r="169" spans="1:12" x14ac:dyDescent="0.25">
      <c r="A169" t="s">
        <v>5</v>
      </c>
      <c r="B169" s="14" t="s">
        <v>38</v>
      </c>
      <c r="C169" t="s">
        <v>299</v>
      </c>
      <c r="D169" t="s">
        <v>5</v>
      </c>
      <c r="E169" t="s">
        <v>299</v>
      </c>
      <c r="F169" t="s">
        <v>299</v>
      </c>
      <c r="G169" t="s">
        <v>0</v>
      </c>
      <c r="H169" s="5" t="s">
        <v>130</v>
      </c>
      <c r="I169" s="14">
        <v>2023</v>
      </c>
      <c r="J169" t="s">
        <v>131</v>
      </c>
      <c r="K169" t="s">
        <v>202</v>
      </c>
      <c r="L169" t="s">
        <v>132</v>
      </c>
    </row>
    <row r="170" spans="1:12" x14ac:dyDescent="0.25">
      <c r="A170" t="s">
        <v>5</v>
      </c>
      <c r="B170" s="14" t="s">
        <v>38</v>
      </c>
      <c r="C170" t="s">
        <v>300</v>
      </c>
      <c r="D170" t="s">
        <v>5</v>
      </c>
      <c r="E170" t="s">
        <v>300</v>
      </c>
      <c r="F170" t="s">
        <v>300</v>
      </c>
      <c r="G170" t="s">
        <v>0</v>
      </c>
      <c r="H170" s="5" t="s">
        <v>130</v>
      </c>
      <c r="I170" s="14">
        <v>2023</v>
      </c>
      <c r="J170" t="s">
        <v>131</v>
      </c>
      <c r="K170" t="s">
        <v>202</v>
      </c>
      <c r="L170" t="s">
        <v>132</v>
      </c>
    </row>
    <row r="171" spans="1:12" x14ac:dyDescent="0.25">
      <c r="A171" t="s">
        <v>5</v>
      </c>
      <c r="B171" s="14" t="s">
        <v>38</v>
      </c>
      <c r="C171" t="s">
        <v>301</v>
      </c>
      <c r="D171" t="s">
        <v>5</v>
      </c>
      <c r="E171" t="s">
        <v>301</v>
      </c>
      <c r="F171" t="s">
        <v>301</v>
      </c>
      <c r="G171" t="s">
        <v>0</v>
      </c>
      <c r="H171" s="5" t="s">
        <v>130</v>
      </c>
      <c r="I171" s="14">
        <v>2023</v>
      </c>
      <c r="J171" t="s">
        <v>131</v>
      </c>
      <c r="K171" t="s">
        <v>202</v>
      </c>
      <c r="L171" t="s">
        <v>132</v>
      </c>
    </row>
    <row r="172" spans="1:12" x14ac:dyDescent="0.25">
      <c r="A172" t="s">
        <v>5</v>
      </c>
      <c r="B172" s="14" t="s">
        <v>38</v>
      </c>
      <c r="C172" t="s">
        <v>302</v>
      </c>
      <c r="D172" t="s">
        <v>5</v>
      </c>
      <c r="E172" t="s">
        <v>302</v>
      </c>
      <c r="F172" t="s">
        <v>302</v>
      </c>
      <c r="G172" t="s">
        <v>0</v>
      </c>
      <c r="H172" s="5" t="s">
        <v>130</v>
      </c>
      <c r="I172" s="14">
        <v>2023</v>
      </c>
      <c r="J172" t="s">
        <v>131</v>
      </c>
      <c r="K172" t="s">
        <v>202</v>
      </c>
      <c r="L172" t="s">
        <v>132</v>
      </c>
    </row>
    <row r="173" spans="1:12" x14ac:dyDescent="0.25">
      <c r="A173" t="s">
        <v>98</v>
      </c>
      <c r="B173" s="14" t="s">
        <v>134</v>
      </c>
      <c r="C173" t="s">
        <v>303</v>
      </c>
      <c r="D173" t="s">
        <v>98</v>
      </c>
      <c r="E173" t="s">
        <v>303</v>
      </c>
      <c r="F173" t="s">
        <v>303</v>
      </c>
      <c r="G173" t="s">
        <v>98</v>
      </c>
      <c r="H173" s="5" t="s">
        <v>130</v>
      </c>
      <c r="I173" s="14">
        <v>2023</v>
      </c>
      <c r="J173" t="s">
        <v>131</v>
      </c>
      <c r="K173" t="s">
        <v>202</v>
      </c>
      <c r="L173" t="s">
        <v>132</v>
      </c>
    </row>
    <row r="174" spans="1:12" x14ac:dyDescent="0.25">
      <c r="A174" t="s">
        <v>98</v>
      </c>
      <c r="B174" s="14" t="s">
        <v>134</v>
      </c>
      <c r="C174" t="s">
        <v>304</v>
      </c>
      <c r="D174" t="s">
        <v>98</v>
      </c>
      <c r="E174" t="s">
        <v>304</v>
      </c>
      <c r="F174" t="s">
        <v>304</v>
      </c>
      <c r="G174" t="s">
        <v>98</v>
      </c>
      <c r="H174" s="5" t="s">
        <v>130</v>
      </c>
      <c r="I174" s="14">
        <v>2023</v>
      </c>
      <c r="J174" t="s">
        <v>131</v>
      </c>
      <c r="K174" t="s">
        <v>202</v>
      </c>
      <c r="L174" t="s">
        <v>132</v>
      </c>
    </row>
    <row r="175" spans="1:12" x14ac:dyDescent="0.25">
      <c r="A175" t="s">
        <v>98</v>
      </c>
      <c r="B175" s="14" t="s">
        <v>134</v>
      </c>
      <c r="C175" t="s">
        <v>305</v>
      </c>
      <c r="D175" t="s">
        <v>98</v>
      </c>
      <c r="E175" t="s">
        <v>305</v>
      </c>
      <c r="F175" t="s">
        <v>305</v>
      </c>
      <c r="G175" t="s">
        <v>98</v>
      </c>
      <c r="H175" s="5" t="s">
        <v>130</v>
      </c>
      <c r="I175" s="14">
        <v>2023</v>
      </c>
      <c r="J175" t="s">
        <v>131</v>
      </c>
      <c r="K175" t="s">
        <v>202</v>
      </c>
      <c r="L175" t="s">
        <v>132</v>
      </c>
    </row>
    <row r="176" spans="1:12" x14ac:dyDescent="0.25">
      <c r="A176" t="s">
        <v>98</v>
      </c>
      <c r="B176" s="14" t="s">
        <v>134</v>
      </c>
      <c r="C176" t="s">
        <v>306</v>
      </c>
      <c r="D176" t="s">
        <v>98</v>
      </c>
      <c r="E176" t="s">
        <v>306</v>
      </c>
      <c r="F176" t="s">
        <v>306</v>
      </c>
      <c r="G176" t="s">
        <v>98</v>
      </c>
      <c r="H176" s="5" t="s">
        <v>130</v>
      </c>
      <c r="I176" s="14">
        <v>2023</v>
      </c>
      <c r="J176" t="s">
        <v>131</v>
      </c>
      <c r="K176" t="s">
        <v>202</v>
      </c>
      <c r="L176" t="s">
        <v>132</v>
      </c>
    </row>
    <row r="177" spans="1:12" x14ac:dyDescent="0.25">
      <c r="A177" t="s">
        <v>98</v>
      </c>
      <c r="B177" s="14" t="s">
        <v>134</v>
      </c>
      <c r="C177" t="s">
        <v>307</v>
      </c>
      <c r="D177" t="s">
        <v>98</v>
      </c>
      <c r="E177" t="s">
        <v>307</v>
      </c>
      <c r="F177" t="s">
        <v>307</v>
      </c>
      <c r="G177" t="s">
        <v>98</v>
      </c>
      <c r="H177" s="5" t="s">
        <v>130</v>
      </c>
      <c r="I177" s="14">
        <v>2023</v>
      </c>
      <c r="J177" t="s">
        <v>131</v>
      </c>
      <c r="K177" t="s">
        <v>202</v>
      </c>
      <c r="L177" t="s">
        <v>132</v>
      </c>
    </row>
    <row r="178" spans="1:12" x14ac:dyDescent="0.25">
      <c r="A178" t="s">
        <v>98</v>
      </c>
      <c r="B178" s="14" t="s">
        <v>134</v>
      </c>
      <c r="C178" t="s">
        <v>308</v>
      </c>
      <c r="D178" t="s">
        <v>98</v>
      </c>
      <c r="E178" t="s">
        <v>308</v>
      </c>
      <c r="F178" t="s">
        <v>308</v>
      </c>
      <c r="G178" t="s">
        <v>98</v>
      </c>
      <c r="H178" s="5" t="s">
        <v>130</v>
      </c>
      <c r="I178" s="14">
        <v>2023</v>
      </c>
      <c r="J178" t="s">
        <v>131</v>
      </c>
      <c r="K178" t="s">
        <v>202</v>
      </c>
      <c r="L178" t="s">
        <v>132</v>
      </c>
    </row>
    <row r="179" spans="1:12" x14ac:dyDescent="0.25">
      <c r="A179" t="s">
        <v>98</v>
      </c>
      <c r="B179" s="14" t="s">
        <v>98</v>
      </c>
      <c r="C179" t="s">
        <v>169</v>
      </c>
      <c r="D179" t="s">
        <v>98</v>
      </c>
      <c r="E179" t="s">
        <v>169</v>
      </c>
      <c r="F179" t="s">
        <v>169</v>
      </c>
      <c r="G179" t="s">
        <v>98</v>
      </c>
      <c r="H179" s="5" t="s">
        <v>130</v>
      </c>
      <c r="I179" s="14">
        <v>2023</v>
      </c>
      <c r="J179" t="s">
        <v>131</v>
      </c>
      <c r="K179" t="s">
        <v>202</v>
      </c>
      <c r="L179" t="s">
        <v>132</v>
      </c>
    </row>
    <row r="180" spans="1:12" x14ac:dyDescent="0.25">
      <c r="A180" t="s">
        <v>98</v>
      </c>
      <c r="B180" s="14" t="s">
        <v>98</v>
      </c>
      <c r="C180" t="s">
        <v>309</v>
      </c>
      <c r="D180" t="s">
        <v>98</v>
      </c>
      <c r="E180" t="s">
        <v>309</v>
      </c>
      <c r="F180" t="s">
        <v>309</v>
      </c>
      <c r="G180" t="s">
        <v>98</v>
      </c>
      <c r="H180" s="5" t="s">
        <v>130</v>
      </c>
      <c r="I180" s="14">
        <v>2023</v>
      </c>
      <c r="J180" t="s">
        <v>131</v>
      </c>
      <c r="K180" t="s">
        <v>202</v>
      </c>
      <c r="L180" t="s">
        <v>132</v>
      </c>
    </row>
    <row r="181" spans="1:12" x14ac:dyDescent="0.25">
      <c r="A181" t="s">
        <v>98</v>
      </c>
      <c r="B181" s="14" t="s">
        <v>98</v>
      </c>
      <c r="C181" t="s">
        <v>310</v>
      </c>
      <c r="D181" t="s">
        <v>98</v>
      </c>
      <c r="E181" t="s">
        <v>310</v>
      </c>
      <c r="F181" t="s">
        <v>310</v>
      </c>
      <c r="G181" t="s">
        <v>98</v>
      </c>
      <c r="H181" s="5" t="s">
        <v>130</v>
      </c>
      <c r="I181" s="14">
        <v>2023</v>
      </c>
      <c r="J181" t="s">
        <v>131</v>
      </c>
      <c r="K181" t="s">
        <v>202</v>
      </c>
      <c r="L181" t="s">
        <v>132</v>
      </c>
    </row>
    <row r="182" spans="1:12" x14ac:dyDescent="0.25">
      <c r="A182" t="s">
        <v>98</v>
      </c>
      <c r="B182" s="14" t="s">
        <v>111</v>
      </c>
      <c r="C182" t="s">
        <v>311</v>
      </c>
      <c r="D182" t="s">
        <v>98</v>
      </c>
      <c r="E182" t="s">
        <v>311</v>
      </c>
      <c r="F182" t="s">
        <v>311</v>
      </c>
      <c r="G182" t="s">
        <v>98</v>
      </c>
      <c r="H182" s="5" t="s">
        <v>130</v>
      </c>
      <c r="I182" s="14">
        <v>2023</v>
      </c>
      <c r="J182" t="s">
        <v>131</v>
      </c>
      <c r="K182" t="s">
        <v>202</v>
      </c>
      <c r="L182" t="s">
        <v>132</v>
      </c>
    </row>
    <row r="183" spans="1:12" x14ac:dyDescent="0.25">
      <c r="A183" t="s">
        <v>98</v>
      </c>
      <c r="B183" s="14" t="s">
        <v>111</v>
      </c>
      <c r="C183" t="s">
        <v>312</v>
      </c>
      <c r="D183" t="s">
        <v>98</v>
      </c>
      <c r="E183" t="s">
        <v>312</v>
      </c>
      <c r="F183" t="s">
        <v>312</v>
      </c>
      <c r="G183" t="s">
        <v>98</v>
      </c>
      <c r="H183" s="5" t="s">
        <v>130</v>
      </c>
      <c r="I183" s="14">
        <v>2023</v>
      </c>
      <c r="J183" t="s">
        <v>131</v>
      </c>
      <c r="K183" t="s">
        <v>202</v>
      </c>
      <c r="L183" t="s">
        <v>132</v>
      </c>
    </row>
    <row r="184" spans="1:12" x14ac:dyDescent="0.25">
      <c r="A184" t="s">
        <v>98</v>
      </c>
      <c r="B184" s="14" t="s">
        <v>111</v>
      </c>
      <c r="C184" t="s">
        <v>313</v>
      </c>
      <c r="D184" t="s">
        <v>98</v>
      </c>
      <c r="E184" t="s">
        <v>313</v>
      </c>
      <c r="F184" t="s">
        <v>313</v>
      </c>
      <c r="G184" t="s">
        <v>98</v>
      </c>
      <c r="H184" s="5" t="s">
        <v>130</v>
      </c>
      <c r="I184" s="14">
        <v>2023</v>
      </c>
      <c r="J184" t="s">
        <v>131</v>
      </c>
      <c r="K184" t="s">
        <v>202</v>
      </c>
      <c r="L184" t="s">
        <v>132</v>
      </c>
    </row>
    <row r="185" spans="1:12" x14ac:dyDescent="0.25">
      <c r="A185" t="s">
        <v>98</v>
      </c>
      <c r="B185" s="14" t="s">
        <v>111</v>
      </c>
      <c r="C185" t="s">
        <v>314</v>
      </c>
      <c r="D185" t="s">
        <v>98</v>
      </c>
      <c r="E185" t="s">
        <v>314</v>
      </c>
      <c r="F185" t="s">
        <v>314</v>
      </c>
      <c r="G185" t="s">
        <v>98</v>
      </c>
      <c r="H185" s="5" t="s">
        <v>130</v>
      </c>
      <c r="I185" s="14">
        <v>2023</v>
      </c>
      <c r="J185" t="s">
        <v>131</v>
      </c>
      <c r="K185" t="s">
        <v>202</v>
      </c>
      <c r="L185" t="s">
        <v>132</v>
      </c>
    </row>
    <row r="186" spans="1:12" x14ac:dyDescent="0.25">
      <c r="A186" t="s">
        <v>98</v>
      </c>
      <c r="B186" s="14" t="s">
        <v>111</v>
      </c>
      <c r="C186" t="s">
        <v>166</v>
      </c>
      <c r="D186" t="s">
        <v>98</v>
      </c>
      <c r="E186" t="s">
        <v>166</v>
      </c>
      <c r="F186" t="s">
        <v>166</v>
      </c>
      <c r="G186" t="s">
        <v>98</v>
      </c>
      <c r="H186" s="5" t="s">
        <v>130</v>
      </c>
      <c r="I186" s="14">
        <v>2023</v>
      </c>
      <c r="J186" t="s">
        <v>131</v>
      </c>
      <c r="K186" t="s">
        <v>202</v>
      </c>
      <c r="L186" t="s">
        <v>132</v>
      </c>
    </row>
    <row r="187" spans="1:12" x14ac:dyDescent="0.25">
      <c r="A187" t="s">
        <v>5</v>
      </c>
      <c r="B187" s="14" t="s">
        <v>28</v>
      </c>
      <c r="C187" t="s">
        <v>270</v>
      </c>
      <c r="D187" t="s">
        <v>5</v>
      </c>
      <c r="E187" t="s">
        <v>270</v>
      </c>
      <c r="F187" t="s">
        <v>270</v>
      </c>
      <c r="G187" t="s">
        <v>0</v>
      </c>
      <c r="H187" s="6" t="s">
        <v>130</v>
      </c>
      <c r="I187" s="14">
        <v>2017</v>
      </c>
      <c r="J187" t="s">
        <v>135</v>
      </c>
      <c r="K187" t="s">
        <v>202</v>
      </c>
      <c r="L187" t="s">
        <v>136</v>
      </c>
    </row>
    <row r="188" spans="1:12" x14ac:dyDescent="0.25">
      <c r="A188" t="s">
        <v>5</v>
      </c>
      <c r="B188" s="14" t="s">
        <v>28</v>
      </c>
      <c r="C188" t="s">
        <v>188</v>
      </c>
      <c r="D188" t="s">
        <v>5</v>
      </c>
      <c r="E188" t="s">
        <v>188</v>
      </c>
      <c r="F188" t="s">
        <v>188</v>
      </c>
      <c r="G188" t="s">
        <v>0</v>
      </c>
      <c r="H188" s="6" t="s">
        <v>130</v>
      </c>
      <c r="I188" s="14">
        <v>2017</v>
      </c>
      <c r="J188" t="s">
        <v>135</v>
      </c>
      <c r="K188" t="s">
        <v>202</v>
      </c>
      <c r="L188" t="s">
        <v>136</v>
      </c>
    </row>
    <row r="189" spans="1:12" x14ac:dyDescent="0.25">
      <c r="A189" t="s">
        <v>5</v>
      </c>
      <c r="B189" s="14" t="s">
        <v>28</v>
      </c>
      <c r="C189" t="s">
        <v>315</v>
      </c>
      <c r="D189" t="s">
        <v>5</v>
      </c>
      <c r="E189" t="s">
        <v>315</v>
      </c>
      <c r="F189" t="s">
        <v>315</v>
      </c>
      <c r="G189" t="s">
        <v>0</v>
      </c>
      <c r="H189" s="6" t="s">
        <v>130</v>
      </c>
      <c r="I189" s="14">
        <v>2017</v>
      </c>
      <c r="J189" t="s">
        <v>135</v>
      </c>
      <c r="K189" t="s">
        <v>202</v>
      </c>
      <c r="L189" t="s">
        <v>136</v>
      </c>
    </row>
    <row r="190" spans="1:12" x14ac:dyDescent="0.25">
      <c r="A190" t="s">
        <v>5</v>
      </c>
      <c r="B190" s="14" t="s">
        <v>12</v>
      </c>
      <c r="C190" t="s">
        <v>316</v>
      </c>
      <c r="D190" t="s">
        <v>5</v>
      </c>
      <c r="E190" t="s">
        <v>316</v>
      </c>
      <c r="F190" t="s">
        <v>316</v>
      </c>
      <c r="G190" t="s">
        <v>0</v>
      </c>
      <c r="H190" s="6" t="s">
        <v>130</v>
      </c>
      <c r="I190" s="14">
        <v>2017</v>
      </c>
      <c r="J190" t="s">
        <v>135</v>
      </c>
      <c r="K190" t="s">
        <v>202</v>
      </c>
      <c r="L190" t="s">
        <v>136</v>
      </c>
    </row>
    <row r="191" spans="1:12" x14ac:dyDescent="0.25">
      <c r="A191" t="s">
        <v>5</v>
      </c>
      <c r="B191" s="14" t="s">
        <v>12</v>
      </c>
      <c r="C191" t="s">
        <v>317</v>
      </c>
      <c r="D191" t="s">
        <v>5</v>
      </c>
      <c r="E191" t="s">
        <v>317</v>
      </c>
      <c r="F191" t="s">
        <v>317</v>
      </c>
      <c r="G191" t="s">
        <v>0</v>
      </c>
      <c r="H191" s="6" t="s">
        <v>130</v>
      </c>
      <c r="I191" s="14">
        <v>2017</v>
      </c>
      <c r="J191" t="s">
        <v>135</v>
      </c>
      <c r="K191" t="s">
        <v>202</v>
      </c>
      <c r="L191" t="s">
        <v>136</v>
      </c>
    </row>
    <row r="192" spans="1:12" x14ac:dyDescent="0.25">
      <c r="A192" t="s">
        <v>5</v>
      </c>
      <c r="B192" s="14" t="s">
        <v>28</v>
      </c>
      <c r="C192" t="s">
        <v>318</v>
      </c>
      <c r="D192" t="s">
        <v>5</v>
      </c>
      <c r="E192" t="s">
        <v>318</v>
      </c>
      <c r="F192" t="s">
        <v>318</v>
      </c>
      <c r="G192" t="s">
        <v>0</v>
      </c>
      <c r="H192" s="6" t="s">
        <v>130</v>
      </c>
      <c r="I192" s="14">
        <v>2017</v>
      </c>
      <c r="J192" t="s">
        <v>135</v>
      </c>
      <c r="K192" t="s">
        <v>202</v>
      </c>
      <c r="L192" t="s">
        <v>136</v>
      </c>
    </row>
    <row r="193" spans="1:12" x14ac:dyDescent="0.25">
      <c r="A193" t="s">
        <v>5</v>
      </c>
      <c r="B193" s="14" t="s">
        <v>28</v>
      </c>
      <c r="C193" t="s">
        <v>319</v>
      </c>
      <c r="D193" t="s">
        <v>5</v>
      </c>
      <c r="E193" t="s">
        <v>319</v>
      </c>
      <c r="F193" t="s">
        <v>319</v>
      </c>
      <c r="G193" t="s">
        <v>0</v>
      </c>
      <c r="H193" s="6" t="s">
        <v>130</v>
      </c>
      <c r="I193" s="14">
        <v>2017</v>
      </c>
      <c r="J193" t="s">
        <v>135</v>
      </c>
      <c r="K193" t="s">
        <v>202</v>
      </c>
      <c r="L193" t="s">
        <v>136</v>
      </c>
    </row>
    <row r="194" spans="1:12" x14ac:dyDescent="0.25">
      <c r="A194" t="s">
        <v>5</v>
      </c>
      <c r="B194" s="14" t="s">
        <v>46</v>
      </c>
      <c r="C194" t="s">
        <v>320</v>
      </c>
      <c r="D194" t="s">
        <v>5</v>
      </c>
      <c r="E194" t="s">
        <v>320</v>
      </c>
      <c r="F194" t="s">
        <v>320</v>
      </c>
      <c r="G194" t="s">
        <v>0</v>
      </c>
      <c r="H194" s="6" t="s">
        <v>130</v>
      </c>
      <c r="I194" s="14">
        <v>2017</v>
      </c>
      <c r="J194" t="s">
        <v>135</v>
      </c>
      <c r="K194" t="s">
        <v>202</v>
      </c>
      <c r="L194" t="s">
        <v>136</v>
      </c>
    </row>
    <row r="195" spans="1:12" x14ac:dyDescent="0.25">
      <c r="A195" t="s">
        <v>5</v>
      </c>
      <c r="B195" s="14" t="s">
        <v>46</v>
      </c>
      <c r="C195" t="s">
        <v>321</v>
      </c>
      <c r="D195" t="s">
        <v>5</v>
      </c>
      <c r="E195" t="s">
        <v>321</v>
      </c>
      <c r="F195" t="s">
        <v>321</v>
      </c>
      <c r="G195" t="s">
        <v>0</v>
      </c>
      <c r="H195" s="6" t="s">
        <v>130</v>
      </c>
      <c r="I195" s="14">
        <v>2017</v>
      </c>
      <c r="J195" t="s">
        <v>135</v>
      </c>
      <c r="K195" t="s">
        <v>202</v>
      </c>
      <c r="L195" t="s">
        <v>136</v>
      </c>
    </row>
    <row r="196" spans="1:12" x14ac:dyDescent="0.25">
      <c r="A196" t="s">
        <v>5</v>
      </c>
      <c r="B196" s="14" t="s">
        <v>12</v>
      </c>
      <c r="C196" t="s">
        <v>181</v>
      </c>
      <c r="D196" t="s">
        <v>5</v>
      </c>
      <c r="E196" t="s">
        <v>181</v>
      </c>
      <c r="F196" t="s">
        <v>181</v>
      </c>
      <c r="G196" t="s">
        <v>0</v>
      </c>
      <c r="H196" s="6" t="s">
        <v>130</v>
      </c>
      <c r="I196" s="14">
        <v>2017</v>
      </c>
      <c r="J196" t="s">
        <v>135</v>
      </c>
      <c r="K196" t="s">
        <v>202</v>
      </c>
      <c r="L196" t="s">
        <v>136</v>
      </c>
    </row>
    <row r="197" spans="1:12" x14ac:dyDescent="0.25">
      <c r="A197" t="s">
        <v>5</v>
      </c>
      <c r="B197" s="14" t="s">
        <v>12</v>
      </c>
      <c r="C197" t="s">
        <v>180</v>
      </c>
      <c r="D197" t="s">
        <v>5</v>
      </c>
      <c r="E197" t="s">
        <v>180</v>
      </c>
      <c r="F197" t="s">
        <v>180</v>
      </c>
      <c r="G197" t="s">
        <v>0</v>
      </c>
      <c r="H197" s="6" t="s">
        <v>130</v>
      </c>
      <c r="I197" s="14">
        <v>2017</v>
      </c>
      <c r="J197" t="s">
        <v>135</v>
      </c>
      <c r="K197" t="s">
        <v>202</v>
      </c>
      <c r="L197" t="s">
        <v>136</v>
      </c>
    </row>
    <row r="198" spans="1:12" x14ac:dyDescent="0.25">
      <c r="A198" t="s">
        <v>5</v>
      </c>
      <c r="B198" s="14" t="s">
        <v>51</v>
      </c>
      <c r="C198" t="s">
        <v>322</v>
      </c>
      <c r="D198" t="s">
        <v>5</v>
      </c>
      <c r="E198" t="s">
        <v>322</v>
      </c>
      <c r="F198" t="s">
        <v>322</v>
      </c>
      <c r="G198" t="s">
        <v>0</v>
      </c>
      <c r="H198" s="6" t="s">
        <v>130</v>
      </c>
      <c r="I198" s="14">
        <v>2017</v>
      </c>
      <c r="J198" t="s">
        <v>135</v>
      </c>
      <c r="K198" t="s">
        <v>202</v>
      </c>
      <c r="L198" t="s">
        <v>136</v>
      </c>
    </row>
    <row r="199" spans="1:12" x14ac:dyDescent="0.25">
      <c r="A199" t="s">
        <v>5</v>
      </c>
      <c r="B199" s="14" t="s">
        <v>51</v>
      </c>
      <c r="C199" t="s">
        <v>323</v>
      </c>
      <c r="D199" t="s">
        <v>5</v>
      </c>
      <c r="E199" t="s">
        <v>323</v>
      </c>
      <c r="F199" t="s">
        <v>323</v>
      </c>
      <c r="G199" t="s">
        <v>0</v>
      </c>
      <c r="H199" s="6" t="s">
        <v>130</v>
      </c>
      <c r="I199" s="14">
        <v>2017</v>
      </c>
      <c r="J199" t="s">
        <v>135</v>
      </c>
      <c r="K199" t="s">
        <v>202</v>
      </c>
      <c r="L199" t="s">
        <v>136</v>
      </c>
    </row>
    <row r="200" spans="1:12" x14ac:dyDescent="0.25">
      <c r="A200" t="s">
        <v>5</v>
      </c>
      <c r="B200" s="14" t="s">
        <v>22</v>
      </c>
      <c r="C200" t="s">
        <v>251</v>
      </c>
      <c r="D200" t="s">
        <v>5</v>
      </c>
      <c r="E200" t="s">
        <v>251</v>
      </c>
      <c r="F200" t="s">
        <v>251</v>
      </c>
      <c r="G200" t="s">
        <v>0</v>
      </c>
      <c r="H200" s="6" t="s">
        <v>130</v>
      </c>
      <c r="I200" s="14">
        <v>2017</v>
      </c>
      <c r="J200" t="s">
        <v>135</v>
      </c>
      <c r="K200" t="s">
        <v>202</v>
      </c>
      <c r="L200" t="s">
        <v>136</v>
      </c>
    </row>
    <row r="201" spans="1:12" x14ac:dyDescent="0.25">
      <c r="A201" t="s">
        <v>5</v>
      </c>
      <c r="B201" s="14" t="s">
        <v>22</v>
      </c>
      <c r="C201" t="s">
        <v>252</v>
      </c>
      <c r="D201" t="s">
        <v>5</v>
      </c>
      <c r="E201" t="s">
        <v>252</v>
      </c>
      <c r="F201" t="s">
        <v>252</v>
      </c>
      <c r="G201" t="s">
        <v>0</v>
      </c>
      <c r="H201" s="6" t="s">
        <v>130</v>
      </c>
      <c r="I201" s="14">
        <v>2017</v>
      </c>
      <c r="J201" t="s">
        <v>135</v>
      </c>
      <c r="K201" t="s">
        <v>202</v>
      </c>
      <c r="L201" t="s">
        <v>136</v>
      </c>
    </row>
    <row r="202" spans="1:12" x14ac:dyDescent="0.25">
      <c r="A202" t="s">
        <v>5</v>
      </c>
      <c r="B202" s="14" t="s">
        <v>22</v>
      </c>
      <c r="C202" t="s">
        <v>250</v>
      </c>
      <c r="D202" t="s">
        <v>5</v>
      </c>
      <c r="E202" t="s">
        <v>250</v>
      </c>
      <c r="F202" t="s">
        <v>250</v>
      </c>
      <c r="G202" t="s">
        <v>0</v>
      </c>
      <c r="H202" s="6" t="s">
        <v>130</v>
      </c>
      <c r="I202" s="14">
        <v>2017</v>
      </c>
      <c r="J202" t="s">
        <v>135</v>
      </c>
      <c r="K202" t="s">
        <v>202</v>
      </c>
      <c r="L202" t="s">
        <v>136</v>
      </c>
    </row>
    <row r="203" spans="1:12" x14ac:dyDescent="0.25">
      <c r="A203" t="s">
        <v>5</v>
      </c>
      <c r="B203" s="14" t="s">
        <v>24</v>
      </c>
      <c r="C203" t="s">
        <v>249</v>
      </c>
      <c r="D203" t="s">
        <v>5</v>
      </c>
      <c r="E203" t="s">
        <v>249</v>
      </c>
      <c r="F203" t="s">
        <v>249</v>
      </c>
      <c r="G203" t="s">
        <v>0</v>
      </c>
      <c r="H203" s="6" t="s">
        <v>130</v>
      </c>
      <c r="I203" s="14">
        <v>2017</v>
      </c>
      <c r="J203" t="s">
        <v>135</v>
      </c>
      <c r="K203" t="s">
        <v>202</v>
      </c>
      <c r="L203" t="s">
        <v>136</v>
      </c>
    </row>
    <row r="204" spans="1:12" x14ac:dyDescent="0.25">
      <c r="A204" t="s">
        <v>5</v>
      </c>
      <c r="B204" s="14" t="s">
        <v>275</v>
      </c>
      <c r="C204" t="s">
        <v>324</v>
      </c>
      <c r="D204" t="s">
        <v>5</v>
      </c>
      <c r="E204" t="s">
        <v>324</v>
      </c>
      <c r="F204" t="s">
        <v>324</v>
      </c>
      <c r="G204" t="s">
        <v>0</v>
      </c>
      <c r="H204" s="6" t="s">
        <v>130</v>
      </c>
      <c r="I204" s="14">
        <v>2017</v>
      </c>
      <c r="J204" t="s">
        <v>135</v>
      </c>
      <c r="K204" t="s">
        <v>202</v>
      </c>
      <c r="L204" t="s">
        <v>136</v>
      </c>
    </row>
    <row r="205" spans="1:12" x14ac:dyDescent="0.25">
      <c r="A205" t="s">
        <v>5</v>
      </c>
      <c r="B205" s="14" t="s">
        <v>23</v>
      </c>
      <c r="C205" t="s">
        <v>325</v>
      </c>
      <c r="D205" t="s">
        <v>5</v>
      </c>
      <c r="E205" t="s">
        <v>325</v>
      </c>
      <c r="F205" t="s">
        <v>325</v>
      </c>
      <c r="G205" t="s">
        <v>0</v>
      </c>
      <c r="H205" s="6" t="s">
        <v>130</v>
      </c>
      <c r="I205" s="14">
        <v>2017</v>
      </c>
      <c r="J205" t="s">
        <v>135</v>
      </c>
      <c r="K205" t="s">
        <v>202</v>
      </c>
      <c r="L205" t="s">
        <v>136</v>
      </c>
    </row>
    <row r="206" spans="1:12" x14ac:dyDescent="0.25">
      <c r="A206" t="s">
        <v>5</v>
      </c>
      <c r="B206" s="14" t="s">
        <v>30</v>
      </c>
      <c r="C206" t="s">
        <v>326</v>
      </c>
      <c r="D206" t="s">
        <v>5</v>
      </c>
      <c r="E206" t="s">
        <v>326</v>
      </c>
      <c r="F206" t="s">
        <v>326</v>
      </c>
      <c r="G206" t="s">
        <v>0</v>
      </c>
      <c r="H206" s="6" t="s">
        <v>130</v>
      </c>
      <c r="I206" s="14">
        <v>2017</v>
      </c>
      <c r="J206" t="s">
        <v>135</v>
      </c>
      <c r="K206" t="s">
        <v>202</v>
      </c>
      <c r="L206" t="s">
        <v>136</v>
      </c>
    </row>
    <row r="207" spans="1:12" x14ac:dyDescent="0.25">
      <c r="A207" t="s">
        <v>5</v>
      </c>
      <c r="B207" s="14" t="s">
        <v>42</v>
      </c>
      <c r="C207" t="s">
        <v>327</v>
      </c>
      <c r="D207" t="s">
        <v>5</v>
      </c>
      <c r="E207" t="s">
        <v>327</v>
      </c>
      <c r="F207" t="s">
        <v>327</v>
      </c>
      <c r="G207" t="s">
        <v>0</v>
      </c>
      <c r="H207" s="6" t="s">
        <v>130</v>
      </c>
      <c r="I207" s="14">
        <v>2017</v>
      </c>
      <c r="J207" t="s">
        <v>135</v>
      </c>
      <c r="K207" t="s">
        <v>202</v>
      </c>
      <c r="L207" t="s">
        <v>136</v>
      </c>
    </row>
    <row r="208" spans="1:12" x14ac:dyDescent="0.25">
      <c r="A208" t="s">
        <v>5</v>
      </c>
      <c r="B208" s="14" t="s">
        <v>42</v>
      </c>
      <c r="C208" t="s">
        <v>328</v>
      </c>
      <c r="D208" t="s">
        <v>5</v>
      </c>
      <c r="E208" t="s">
        <v>328</v>
      </c>
      <c r="F208" t="s">
        <v>328</v>
      </c>
      <c r="G208" t="s">
        <v>0</v>
      </c>
      <c r="H208" s="6" t="s">
        <v>130</v>
      </c>
      <c r="I208" s="14">
        <v>2017</v>
      </c>
      <c r="J208" t="s">
        <v>135</v>
      </c>
      <c r="K208" t="s">
        <v>202</v>
      </c>
      <c r="L208" t="s">
        <v>136</v>
      </c>
    </row>
    <row r="209" spans="1:12" x14ac:dyDescent="0.25">
      <c r="A209" t="s">
        <v>5</v>
      </c>
      <c r="B209" s="14" t="s">
        <v>42</v>
      </c>
      <c r="C209" t="s">
        <v>329</v>
      </c>
      <c r="D209" t="s">
        <v>5</v>
      </c>
      <c r="E209" t="s">
        <v>329</v>
      </c>
      <c r="F209" t="s">
        <v>329</v>
      </c>
      <c r="G209" t="s">
        <v>0</v>
      </c>
      <c r="H209" s="6" t="s">
        <v>130</v>
      </c>
      <c r="I209" s="14">
        <v>2017</v>
      </c>
      <c r="J209" t="s">
        <v>135</v>
      </c>
      <c r="K209" t="s">
        <v>202</v>
      </c>
      <c r="L209" t="s">
        <v>136</v>
      </c>
    </row>
    <row r="210" spans="1:12" x14ac:dyDescent="0.25">
      <c r="A210" t="s">
        <v>5</v>
      </c>
      <c r="B210" s="14" t="s">
        <v>42</v>
      </c>
      <c r="C210" t="s">
        <v>330</v>
      </c>
      <c r="D210" t="s">
        <v>5</v>
      </c>
      <c r="E210" t="s">
        <v>330</v>
      </c>
      <c r="F210" t="s">
        <v>330</v>
      </c>
      <c r="G210" t="s">
        <v>0</v>
      </c>
      <c r="H210" s="6" t="s">
        <v>130</v>
      </c>
      <c r="I210" s="14">
        <v>2017</v>
      </c>
      <c r="J210" t="s">
        <v>135</v>
      </c>
      <c r="K210" t="s">
        <v>202</v>
      </c>
      <c r="L210" t="s">
        <v>136</v>
      </c>
    </row>
    <row r="211" spans="1:12" x14ac:dyDescent="0.25">
      <c r="A211" t="s">
        <v>5</v>
      </c>
      <c r="B211" s="14" t="s">
        <v>275</v>
      </c>
      <c r="C211" t="s">
        <v>331</v>
      </c>
      <c r="D211" t="s">
        <v>5</v>
      </c>
      <c r="E211" t="s">
        <v>331</v>
      </c>
      <c r="F211" t="s">
        <v>331</v>
      </c>
      <c r="G211" t="s">
        <v>0</v>
      </c>
      <c r="H211" s="6" t="s">
        <v>130</v>
      </c>
      <c r="I211" s="14">
        <v>2017</v>
      </c>
      <c r="J211" t="s">
        <v>135</v>
      </c>
      <c r="K211" t="s">
        <v>202</v>
      </c>
      <c r="L211" t="s">
        <v>136</v>
      </c>
    </row>
    <row r="212" spans="1:12" x14ac:dyDescent="0.25">
      <c r="A212" t="s">
        <v>5</v>
      </c>
      <c r="B212" s="14" t="s">
        <v>25</v>
      </c>
      <c r="C212" t="s">
        <v>244</v>
      </c>
      <c r="D212" t="s">
        <v>5</v>
      </c>
      <c r="E212" t="s">
        <v>244</v>
      </c>
      <c r="F212" t="s">
        <v>244</v>
      </c>
      <c r="G212" t="s">
        <v>0</v>
      </c>
      <c r="H212" s="6" t="s">
        <v>130</v>
      </c>
      <c r="I212" s="14">
        <v>2017</v>
      </c>
      <c r="J212" t="s">
        <v>135</v>
      </c>
      <c r="K212" t="s">
        <v>202</v>
      </c>
      <c r="L212" t="s">
        <v>136</v>
      </c>
    </row>
    <row r="213" spans="1:12" x14ac:dyDescent="0.25">
      <c r="A213" t="s">
        <v>5</v>
      </c>
      <c r="B213" s="14" t="s">
        <v>25</v>
      </c>
      <c r="C213" t="s">
        <v>243</v>
      </c>
      <c r="D213" t="s">
        <v>5</v>
      </c>
      <c r="E213" t="s">
        <v>243</v>
      </c>
      <c r="F213" t="s">
        <v>243</v>
      </c>
      <c r="G213" t="s">
        <v>0</v>
      </c>
      <c r="H213" s="6" t="s">
        <v>130</v>
      </c>
      <c r="I213" s="14">
        <v>2017</v>
      </c>
      <c r="J213" t="s">
        <v>135</v>
      </c>
      <c r="K213" t="s">
        <v>202</v>
      </c>
      <c r="L213" t="s">
        <v>136</v>
      </c>
    </row>
    <row r="214" spans="1:12" x14ac:dyDescent="0.25">
      <c r="A214" t="s">
        <v>5</v>
      </c>
      <c r="B214" s="14" t="s">
        <v>25</v>
      </c>
      <c r="C214" t="s">
        <v>332</v>
      </c>
      <c r="D214" t="s">
        <v>5</v>
      </c>
      <c r="E214" t="s">
        <v>332</v>
      </c>
      <c r="F214" t="s">
        <v>332</v>
      </c>
      <c r="G214" t="s">
        <v>0</v>
      </c>
      <c r="H214" s="6" t="s">
        <v>130</v>
      </c>
      <c r="I214" s="14">
        <v>2017</v>
      </c>
      <c r="J214" t="s">
        <v>135</v>
      </c>
      <c r="K214" t="s">
        <v>202</v>
      </c>
      <c r="L214" t="s">
        <v>136</v>
      </c>
    </row>
    <row r="215" spans="1:12" x14ac:dyDescent="0.25">
      <c r="A215" t="s">
        <v>5</v>
      </c>
      <c r="B215" s="14" t="s">
        <v>275</v>
      </c>
      <c r="C215" t="s">
        <v>333</v>
      </c>
      <c r="D215" t="s">
        <v>5</v>
      </c>
      <c r="E215" t="s">
        <v>333</v>
      </c>
      <c r="F215" t="s">
        <v>333</v>
      </c>
      <c r="G215" t="s">
        <v>0</v>
      </c>
      <c r="H215" s="6" t="s">
        <v>130</v>
      </c>
      <c r="I215" s="14">
        <v>2017</v>
      </c>
      <c r="J215" t="s">
        <v>135</v>
      </c>
      <c r="K215" t="s">
        <v>202</v>
      </c>
      <c r="L215" t="s">
        <v>136</v>
      </c>
    </row>
    <row r="216" spans="1:12" x14ac:dyDescent="0.25">
      <c r="A216" t="s">
        <v>5</v>
      </c>
      <c r="B216" s="14" t="s">
        <v>10</v>
      </c>
      <c r="C216" t="s">
        <v>334</v>
      </c>
      <c r="D216" t="s">
        <v>5</v>
      </c>
      <c r="E216" t="s">
        <v>334</v>
      </c>
      <c r="F216" t="s">
        <v>334</v>
      </c>
      <c r="G216" t="s">
        <v>0</v>
      </c>
      <c r="H216" s="6" t="s">
        <v>130</v>
      </c>
      <c r="I216" s="14">
        <v>2017</v>
      </c>
      <c r="J216" t="s">
        <v>135</v>
      </c>
      <c r="K216" t="s">
        <v>202</v>
      </c>
      <c r="L216" t="s">
        <v>136</v>
      </c>
    </row>
    <row r="217" spans="1:12" x14ac:dyDescent="0.25">
      <c r="A217" t="s">
        <v>5</v>
      </c>
      <c r="B217" s="14" t="s">
        <v>10</v>
      </c>
      <c r="C217" t="s">
        <v>335</v>
      </c>
      <c r="D217" t="s">
        <v>5</v>
      </c>
      <c r="E217" t="s">
        <v>335</v>
      </c>
      <c r="F217" t="s">
        <v>335</v>
      </c>
      <c r="G217" t="s">
        <v>0</v>
      </c>
      <c r="H217" s="6" t="s">
        <v>130</v>
      </c>
      <c r="I217" s="14">
        <v>2017</v>
      </c>
      <c r="J217" t="s">
        <v>135</v>
      </c>
      <c r="K217" t="s">
        <v>202</v>
      </c>
      <c r="L217" t="s">
        <v>136</v>
      </c>
    </row>
    <row r="218" spans="1:12" x14ac:dyDescent="0.25">
      <c r="A218" t="s">
        <v>5</v>
      </c>
      <c r="B218" s="14" t="s">
        <v>26</v>
      </c>
      <c r="C218" t="s">
        <v>336</v>
      </c>
      <c r="D218" t="s">
        <v>5</v>
      </c>
      <c r="E218" t="s">
        <v>336</v>
      </c>
      <c r="F218" t="s">
        <v>336</v>
      </c>
      <c r="G218" t="s">
        <v>0</v>
      </c>
      <c r="H218" s="6" t="s">
        <v>130</v>
      </c>
      <c r="I218" s="14">
        <v>2017</v>
      </c>
      <c r="J218" t="s">
        <v>135</v>
      </c>
      <c r="K218" t="s">
        <v>202</v>
      </c>
      <c r="L218" t="s">
        <v>136</v>
      </c>
    </row>
    <row r="219" spans="1:12" x14ac:dyDescent="0.25">
      <c r="A219" t="s">
        <v>5</v>
      </c>
      <c r="B219" s="14" t="s">
        <v>17</v>
      </c>
      <c r="C219" t="s">
        <v>187</v>
      </c>
      <c r="D219" t="s">
        <v>5</v>
      </c>
      <c r="E219" t="s">
        <v>187</v>
      </c>
      <c r="F219" t="s">
        <v>187</v>
      </c>
      <c r="G219" t="s">
        <v>0</v>
      </c>
      <c r="H219" s="6" t="s">
        <v>130</v>
      </c>
      <c r="I219" s="14">
        <v>2017</v>
      </c>
      <c r="J219" t="s">
        <v>135</v>
      </c>
      <c r="K219" t="s">
        <v>202</v>
      </c>
      <c r="L219" t="s">
        <v>136</v>
      </c>
    </row>
    <row r="220" spans="1:12" x14ac:dyDescent="0.25">
      <c r="A220" t="s">
        <v>5</v>
      </c>
      <c r="B220" s="14" t="s">
        <v>17</v>
      </c>
      <c r="C220" t="s">
        <v>186</v>
      </c>
      <c r="D220" t="s">
        <v>5</v>
      </c>
      <c r="E220" t="s">
        <v>186</v>
      </c>
      <c r="F220" t="s">
        <v>186</v>
      </c>
      <c r="G220" t="s">
        <v>0</v>
      </c>
      <c r="H220" s="6" t="s">
        <v>130</v>
      </c>
      <c r="I220" s="14">
        <v>2017</v>
      </c>
      <c r="J220" t="s">
        <v>135</v>
      </c>
      <c r="K220" t="s">
        <v>202</v>
      </c>
      <c r="L220" t="s">
        <v>136</v>
      </c>
    </row>
    <row r="221" spans="1:12" x14ac:dyDescent="0.25">
      <c r="A221" t="s">
        <v>5</v>
      </c>
      <c r="B221" s="14" t="s">
        <v>45</v>
      </c>
      <c r="C221" t="s">
        <v>183</v>
      </c>
      <c r="D221" t="s">
        <v>5</v>
      </c>
      <c r="E221" t="s">
        <v>183</v>
      </c>
      <c r="F221" t="s">
        <v>183</v>
      </c>
      <c r="G221" t="s">
        <v>0</v>
      </c>
      <c r="H221" s="6" t="s">
        <v>130</v>
      </c>
      <c r="I221" s="14">
        <v>2017</v>
      </c>
      <c r="J221" t="s">
        <v>135</v>
      </c>
      <c r="K221" t="s">
        <v>202</v>
      </c>
      <c r="L221" t="s">
        <v>136</v>
      </c>
    </row>
    <row r="222" spans="1:12" x14ac:dyDescent="0.25">
      <c r="A222" t="s">
        <v>5</v>
      </c>
      <c r="B222" s="14" t="s">
        <v>44</v>
      </c>
      <c r="C222" t="s">
        <v>337</v>
      </c>
      <c r="D222" t="s">
        <v>5</v>
      </c>
      <c r="E222" t="s">
        <v>337</v>
      </c>
      <c r="F222" t="s">
        <v>337</v>
      </c>
      <c r="G222" t="s">
        <v>0</v>
      </c>
      <c r="H222" s="6" t="s">
        <v>130</v>
      </c>
      <c r="I222" s="14">
        <v>2017</v>
      </c>
      <c r="J222" t="s">
        <v>135</v>
      </c>
      <c r="K222" t="s">
        <v>202</v>
      </c>
      <c r="L222" t="s">
        <v>136</v>
      </c>
    </row>
    <row r="223" spans="1:12" x14ac:dyDescent="0.25">
      <c r="A223" t="s">
        <v>5</v>
      </c>
      <c r="B223" s="14" t="s">
        <v>14</v>
      </c>
      <c r="C223" t="s">
        <v>210</v>
      </c>
      <c r="D223" t="s">
        <v>5</v>
      </c>
      <c r="E223" t="s">
        <v>210</v>
      </c>
      <c r="F223" t="s">
        <v>210</v>
      </c>
      <c r="G223" t="s">
        <v>0</v>
      </c>
      <c r="H223" s="6" t="s">
        <v>130</v>
      </c>
      <c r="I223" s="14">
        <v>2017</v>
      </c>
      <c r="J223" t="s">
        <v>135</v>
      </c>
      <c r="K223" t="s">
        <v>202</v>
      </c>
      <c r="L223" t="s">
        <v>136</v>
      </c>
    </row>
    <row r="224" spans="1:12" x14ac:dyDescent="0.25">
      <c r="A224" t="s">
        <v>5</v>
      </c>
      <c r="B224" s="14" t="s">
        <v>44</v>
      </c>
      <c r="C224" t="s">
        <v>197</v>
      </c>
      <c r="D224" t="s">
        <v>5</v>
      </c>
      <c r="E224" t="s">
        <v>197</v>
      </c>
      <c r="F224" t="s">
        <v>197</v>
      </c>
      <c r="G224" t="s">
        <v>0</v>
      </c>
      <c r="H224" s="6" t="s">
        <v>130</v>
      </c>
      <c r="I224" s="14">
        <v>2017</v>
      </c>
      <c r="J224" t="s">
        <v>135</v>
      </c>
      <c r="K224" t="s">
        <v>202</v>
      </c>
      <c r="L224" t="s">
        <v>136</v>
      </c>
    </row>
    <row r="225" spans="1:12" x14ac:dyDescent="0.25">
      <c r="A225" t="s">
        <v>5</v>
      </c>
      <c r="B225" s="14" t="s">
        <v>44</v>
      </c>
      <c r="C225" t="s">
        <v>338</v>
      </c>
      <c r="D225" t="s">
        <v>5</v>
      </c>
      <c r="E225" t="s">
        <v>338</v>
      </c>
      <c r="F225" t="s">
        <v>338</v>
      </c>
      <c r="G225" t="s">
        <v>0</v>
      </c>
      <c r="H225" s="6" t="s">
        <v>130</v>
      </c>
      <c r="I225" s="14">
        <v>2017</v>
      </c>
      <c r="J225" t="s">
        <v>135</v>
      </c>
      <c r="K225" t="s">
        <v>202</v>
      </c>
      <c r="L225" t="s">
        <v>136</v>
      </c>
    </row>
    <row r="226" spans="1:12" x14ac:dyDescent="0.25">
      <c r="A226" t="s">
        <v>5</v>
      </c>
      <c r="B226" s="14" t="s">
        <v>44</v>
      </c>
      <c r="C226" t="s">
        <v>269</v>
      </c>
      <c r="D226" t="s">
        <v>5</v>
      </c>
      <c r="E226" t="s">
        <v>269</v>
      </c>
      <c r="F226" t="s">
        <v>269</v>
      </c>
      <c r="G226" t="s">
        <v>0</v>
      </c>
      <c r="H226" s="6" t="s">
        <v>130</v>
      </c>
      <c r="I226" s="14">
        <v>2017</v>
      </c>
      <c r="J226" t="s">
        <v>135</v>
      </c>
      <c r="K226" t="s">
        <v>202</v>
      </c>
      <c r="L226" t="s">
        <v>136</v>
      </c>
    </row>
    <row r="227" spans="1:12" x14ac:dyDescent="0.25">
      <c r="A227" t="s">
        <v>5</v>
      </c>
      <c r="B227" s="14" t="s">
        <v>44</v>
      </c>
      <c r="C227" t="s">
        <v>268</v>
      </c>
      <c r="D227" t="s">
        <v>5</v>
      </c>
      <c r="E227" t="s">
        <v>268</v>
      </c>
      <c r="F227" t="s">
        <v>268</v>
      </c>
      <c r="G227" t="s">
        <v>0</v>
      </c>
      <c r="H227" s="6" t="s">
        <v>130</v>
      </c>
      <c r="I227" s="14">
        <v>2017</v>
      </c>
      <c r="J227" t="s">
        <v>135</v>
      </c>
      <c r="K227" t="s">
        <v>202</v>
      </c>
      <c r="L227" t="s">
        <v>136</v>
      </c>
    </row>
    <row r="228" spans="1:12" x14ac:dyDescent="0.25">
      <c r="A228" t="s">
        <v>5</v>
      </c>
      <c r="B228" s="14" t="s">
        <v>44</v>
      </c>
      <c r="C228" t="s">
        <v>267</v>
      </c>
      <c r="D228" t="s">
        <v>5</v>
      </c>
      <c r="E228" t="s">
        <v>267</v>
      </c>
      <c r="F228" t="s">
        <v>267</v>
      </c>
      <c r="G228" t="s">
        <v>0</v>
      </c>
      <c r="H228" s="6" t="s">
        <v>130</v>
      </c>
      <c r="I228" s="14">
        <v>2017</v>
      </c>
      <c r="J228" t="s">
        <v>135</v>
      </c>
      <c r="K228" t="s">
        <v>202</v>
      </c>
      <c r="L228" t="s">
        <v>136</v>
      </c>
    </row>
    <row r="229" spans="1:12" x14ac:dyDescent="0.25">
      <c r="A229" t="s">
        <v>5</v>
      </c>
      <c r="B229" s="14" t="s">
        <v>38</v>
      </c>
      <c r="C229" t="s">
        <v>339</v>
      </c>
      <c r="D229" t="s">
        <v>5</v>
      </c>
      <c r="E229" t="s">
        <v>339</v>
      </c>
      <c r="F229" t="s">
        <v>339</v>
      </c>
      <c r="G229" t="s">
        <v>0</v>
      </c>
      <c r="H229" s="6" t="s">
        <v>130</v>
      </c>
      <c r="I229" s="14">
        <v>2017</v>
      </c>
      <c r="J229" t="s">
        <v>135</v>
      </c>
      <c r="K229" t="s">
        <v>202</v>
      </c>
      <c r="L229" t="s">
        <v>136</v>
      </c>
    </row>
    <row r="230" spans="1:12" x14ac:dyDescent="0.25">
      <c r="A230" t="s">
        <v>5</v>
      </c>
      <c r="B230" s="14" t="s">
        <v>38</v>
      </c>
      <c r="C230" t="s">
        <v>259</v>
      </c>
      <c r="D230" t="s">
        <v>5</v>
      </c>
      <c r="E230" t="s">
        <v>259</v>
      </c>
      <c r="F230" t="s">
        <v>259</v>
      </c>
      <c r="G230" t="s">
        <v>0</v>
      </c>
      <c r="H230" s="6" t="s">
        <v>130</v>
      </c>
      <c r="I230" s="14">
        <v>2017</v>
      </c>
      <c r="J230" t="s">
        <v>135</v>
      </c>
      <c r="K230" t="s">
        <v>202</v>
      </c>
      <c r="L230" t="s">
        <v>136</v>
      </c>
    </row>
    <row r="231" spans="1:12" x14ac:dyDescent="0.25">
      <c r="A231" t="s">
        <v>5</v>
      </c>
      <c r="B231" s="14" t="s">
        <v>38</v>
      </c>
      <c r="C231" t="s">
        <v>260</v>
      </c>
      <c r="D231" t="s">
        <v>5</v>
      </c>
      <c r="E231" t="s">
        <v>260</v>
      </c>
      <c r="F231" t="s">
        <v>260</v>
      </c>
      <c r="G231" t="s">
        <v>0</v>
      </c>
      <c r="H231" s="6" t="s">
        <v>130</v>
      </c>
      <c r="I231" s="14">
        <v>2017</v>
      </c>
      <c r="J231" t="s">
        <v>135</v>
      </c>
      <c r="K231" t="s">
        <v>202</v>
      </c>
      <c r="L231" t="s">
        <v>136</v>
      </c>
    </row>
    <row r="232" spans="1:12" x14ac:dyDescent="0.25">
      <c r="A232" t="s">
        <v>5</v>
      </c>
      <c r="B232" s="14" t="s">
        <v>38</v>
      </c>
      <c r="C232" t="s">
        <v>258</v>
      </c>
      <c r="D232" t="s">
        <v>5</v>
      </c>
      <c r="E232" t="s">
        <v>258</v>
      </c>
      <c r="F232" t="s">
        <v>258</v>
      </c>
      <c r="G232" t="s">
        <v>0</v>
      </c>
      <c r="H232" s="6" t="s">
        <v>130</v>
      </c>
      <c r="I232" s="14">
        <v>2017</v>
      </c>
      <c r="J232" t="s">
        <v>135</v>
      </c>
      <c r="K232" t="s">
        <v>202</v>
      </c>
      <c r="L232" t="s">
        <v>136</v>
      </c>
    </row>
    <row r="233" spans="1:12" x14ac:dyDescent="0.25">
      <c r="A233" t="s">
        <v>5</v>
      </c>
      <c r="B233" s="14" t="s">
        <v>38</v>
      </c>
      <c r="C233" t="s">
        <v>340</v>
      </c>
      <c r="D233" t="s">
        <v>5</v>
      </c>
      <c r="E233" t="s">
        <v>340</v>
      </c>
      <c r="F233" t="s">
        <v>340</v>
      </c>
      <c r="G233" t="s">
        <v>0</v>
      </c>
      <c r="H233" s="6" t="s">
        <v>130</v>
      </c>
      <c r="I233" s="14">
        <v>2017</v>
      </c>
      <c r="J233" t="s">
        <v>135</v>
      </c>
      <c r="K233" t="s">
        <v>202</v>
      </c>
      <c r="L233" t="s">
        <v>136</v>
      </c>
    </row>
    <row r="234" spans="1:12" x14ac:dyDescent="0.25">
      <c r="A234" t="s">
        <v>5</v>
      </c>
      <c r="B234" s="14" t="s">
        <v>38</v>
      </c>
      <c r="C234" t="s">
        <v>261</v>
      </c>
      <c r="D234" t="s">
        <v>5</v>
      </c>
      <c r="E234" t="s">
        <v>261</v>
      </c>
      <c r="F234" t="s">
        <v>261</v>
      </c>
      <c r="G234" t="s">
        <v>0</v>
      </c>
      <c r="H234" s="6" t="s">
        <v>130</v>
      </c>
      <c r="I234" s="14">
        <v>2017</v>
      </c>
      <c r="J234" t="s">
        <v>135</v>
      </c>
      <c r="K234" t="s">
        <v>202</v>
      </c>
      <c r="L234" t="s">
        <v>136</v>
      </c>
    </row>
    <row r="235" spans="1:12" x14ac:dyDescent="0.25">
      <c r="A235" t="s">
        <v>5</v>
      </c>
      <c r="B235" s="14" t="s">
        <v>38</v>
      </c>
      <c r="C235" t="s">
        <v>262</v>
      </c>
      <c r="D235" t="s">
        <v>5</v>
      </c>
      <c r="E235" t="s">
        <v>262</v>
      </c>
      <c r="F235" t="s">
        <v>262</v>
      </c>
      <c r="G235" t="s">
        <v>0</v>
      </c>
      <c r="H235" s="6" t="s">
        <v>130</v>
      </c>
      <c r="I235" s="14">
        <v>2017</v>
      </c>
      <c r="J235" t="s">
        <v>135</v>
      </c>
      <c r="K235" t="s">
        <v>202</v>
      </c>
      <c r="L235" t="s">
        <v>136</v>
      </c>
    </row>
    <row r="236" spans="1:12" x14ac:dyDescent="0.25">
      <c r="A236" t="s">
        <v>5</v>
      </c>
      <c r="B236" s="14" t="s">
        <v>38</v>
      </c>
      <c r="C236" t="s">
        <v>341</v>
      </c>
      <c r="D236" t="s">
        <v>5</v>
      </c>
      <c r="E236" t="s">
        <v>341</v>
      </c>
      <c r="F236" t="s">
        <v>341</v>
      </c>
      <c r="G236" t="s">
        <v>0</v>
      </c>
      <c r="H236" s="6" t="s">
        <v>130</v>
      </c>
      <c r="I236" s="14">
        <v>2017</v>
      </c>
      <c r="J236" t="s">
        <v>135</v>
      </c>
      <c r="K236" t="s">
        <v>202</v>
      </c>
      <c r="L236" t="s">
        <v>136</v>
      </c>
    </row>
    <row r="237" spans="1:12" x14ac:dyDescent="0.25">
      <c r="A237" t="s">
        <v>5</v>
      </c>
      <c r="B237" s="14" t="s">
        <v>38</v>
      </c>
      <c r="C237" t="s">
        <v>208</v>
      </c>
      <c r="D237" t="s">
        <v>5</v>
      </c>
      <c r="E237" t="s">
        <v>208</v>
      </c>
      <c r="F237" t="s">
        <v>208</v>
      </c>
      <c r="G237" t="s">
        <v>0</v>
      </c>
      <c r="H237" s="6" t="s">
        <v>130</v>
      </c>
      <c r="I237" s="14">
        <v>2017</v>
      </c>
      <c r="J237" t="s">
        <v>135</v>
      </c>
      <c r="K237" t="s">
        <v>202</v>
      </c>
      <c r="L237" t="s">
        <v>136</v>
      </c>
    </row>
    <row r="238" spans="1:12" x14ac:dyDescent="0.25">
      <c r="A238" t="s">
        <v>5</v>
      </c>
      <c r="B238" s="14" t="s">
        <v>38</v>
      </c>
      <c r="C238" t="s">
        <v>342</v>
      </c>
      <c r="D238" t="s">
        <v>5</v>
      </c>
      <c r="E238" t="s">
        <v>342</v>
      </c>
      <c r="F238" t="s">
        <v>342</v>
      </c>
      <c r="G238" t="s">
        <v>0</v>
      </c>
      <c r="H238" s="6" t="s">
        <v>130</v>
      </c>
      <c r="I238" s="14">
        <v>2017</v>
      </c>
      <c r="J238" t="s">
        <v>135</v>
      </c>
      <c r="K238" t="s">
        <v>202</v>
      </c>
      <c r="L238" t="s">
        <v>136</v>
      </c>
    </row>
    <row r="239" spans="1:12" x14ac:dyDescent="0.25">
      <c r="A239" t="s">
        <v>5</v>
      </c>
      <c r="B239" s="14" t="s">
        <v>38</v>
      </c>
      <c r="C239" t="s">
        <v>203</v>
      </c>
      <c r="D239" t="s">
        <v>5</v>
      </c>
      <c r="E239" t="s">
        <v>203</v>
      </c>
      <c r="F239" t="s">
        <v>203</v>
      </c>
      <c r="G239" t="s">
        <v>0</v>
      </c>
      <c r="H239" s="6" t="s">
        <v>130</v>
      </c>
      <c r="I239" s="14">
        <v>2017</v>
      </c>
      <c r="J239" t="s">
        <v>135</v>
      </c>
      <c r="K239" t="s">
        <v>202</v>
      </c>
      <c r="L239" t="s">
        <v>136</v>
      </c>
    </row>
    <row r="240" spans="1:12" x14ac:dyDescent="0.25">
      <c r="A240" t="s">
        <v>5</v>
      </c>
      <c r="B240" s="14" t="s">
        <v>38</v>
      </c>
      <c r="C240" t="s">
        <v>256</v>
      </c>
      <c r="D240" t="s">
        <v>5</v>
      </c>
      <c r="E240" t="s">
        <v>256</v>
      </c>
      <c r="F240" t="s">
        <v>256</v>
      </c>
      <c r="G240" t="s">
        <v>0</v>
      </c>
      <c r="H240" s="6" t="s">
        <v>130</v>
      </c>
      <c r="I240" s="14">
        <v>2017</v>
      </c>
      <c r="J240" t="s">
        <v>135</v>
      </c>
      <c r="K240" t="s">
        <v>202</v>
      </c>
      <c r="L240" t="s">
        <v>136</v>
      </c>
    </row>
    <row r="241" spans="1:12" x14ac:dyDescent="0.25">
      <c r="A241" t="s">
        <v>5</v>
      </c>
      <c r="B241" s="14" t="s">
        <v>38</v>
      </c>
      <c r="C241" t="s">
        <v>343</v>
      </c>
      <c r="D241" t="s">
        <v>5</v>
      </c>
      <c r="E241" t="s">
        <v>343</v>
      </c>
      <c r="F241" t="s">
        <v>343</v>
      </c>
      <c r="G241" t="s">
        <v>0</v>
      </c>
      <c r="H241" s="6" t="s">
        <v>130</v>
      </c>
      <c r="I241" s="14">
        <v>2017</v>
      </c>
      <c r="J241" t="s">
        <v>135</v>
      </c>
      <c r="K241" t="s">
        <v>202</v>
      </c>
      <c r="L241" t="s">
        <v>136</v>
      </c>
    </row>
    <row r="242" spans="1:12" x14ac:dyDescent="0.25">
      <c r="A242" t="s">
        <v>5</v>
      </c>
      <c r="B242" s="14" t="s">
        <v>38</v>
      </c>
      <c r="C242" t="s">
        <v>344</v>
      </c>
      <c r="D242" t="s">
        <v>5</v>
      </c>
      <c r="E242" t="s">
        <v>344</v>
      </c>
      <c r="F242" s="39" t="s">
        <v>344</v>
      </c>
      <c r="G242" t="s">
        <v>0</v>
      </c>
      <c r="H242" s="6" t="s">
        <v>130</v>
      </c>
      <c r="I242" s="14">
        <v>2017</v>
      </c>
      <c r="J242" t="s">
        <v>135</v>
      </c>
      <c r="K242" t="s">
        <v>202</v>
      </c>
      <c r="L242" t="s">
        <v>136</v>
      </c>
    </row>
    <row r="243" spans="1:12" x14ac:dyDescent="0.25">
      <c r="A243" t="s">
        <v>5</v>
      </c>
      <c r="B243" s="14" t="s">
        <v>38</v>
      </c>
      <c r="C243" t="s">
        <v>345</v>
      </c>
      <c r="D243" t="s">
        <v>5</v>
      </c>
      <c r="E243" t="s">
        <v>345</v>
      </c>
      <c r="F243" t="s">
        <v>345</v>
      </c>
      <c r="G243" t="s">
        <v>0</v>
      </c>
      <c r="H243" s="6" t="s">
        <v>130</v>
      </c>
      <c r="I243" s="14">
        <v>2017</v>
      </c>
      <c r="J243" t="s">
        <v>135</v>
      </c>
      <c r="K243" t="s">
        <v>202</v>
      </c>
      <c r="L243" t="s">
        <v>136</v>
      </c>
    </row>
    <row r="244" spans="1:12" x14ac:dyDescent="0.25">
      <c r="A244" t="s">
        <v>5</v>
      </c>
      <c r="B244" s="14" t="s">
        <v>47</v>
      </c>
      <c r="C244" t="s">
        <v>346</v>
      </c>
      <c r="D244" t="s">
        <v>5</v>
      </c>
      <c r="E244" t="s">
        <v>346</v>
      </c>
      <c r="F244" t="s">
        <v>346</v>
      </c>
      <c r="G244" t="s">
        <v>0</v>
      </c>
      <c r="H244" s="6" t="s">
        <v>130</v>
      </c>
      <c r="I244" s="14">
        <v>2017</v>
      </c>
      <c r="J244" t="s">
        <v>135</v>
      </c>
      <c r="K244" t="s">
        <v>202</v>
      </c>
      <c r="L244" t="s">
        <v>136</v>
      </c>
    </row>
    <row r="245" spans="1:12" x14ac:dyDescent="0.25">
      <c r="A245" t="s">
        <v>5</v>
      </c>
      <c r="B245" s="14" t="s">
        <v>38</v>
      </c>
      <c r="C245" t="s">
        <v>257</v>
      </c>
      <c r="D245" t="s">
        <v>5</v>
      </c>
      <c r="E245" t="s">
        <v>257</v>
      </c>
      <c r="F245" t="s">
        <v>257</v>
      </c>
      <c r="G245" t="s">
        <v>0</v>
      </c>
      <c r="H245" s="6" t="s">
        <v>130</v>
      </c>
      <c r="I245" s="14">
        <v>2017</v>
      </c>
      <c r="J245" t="s">
        <v>135</v>
      </c>
      <c r="K245" t="s">
        <v>202</v>
      </c>
      <c r="L245" t="s">
        <v>136</v>
      </c>
    </row>
    <row r="246" spans="1:12" x14ac:dyDescent="0.25">
      <c r="A246" t="s">
        <v>5</v>
      </c>
      <c r="B246" s="14" t="s">
        <v>90</v>
      </c>
      <c r="C246" t="s">
        <v>347</v>
      </c>
      <c r="D246" t="s">
        <v>5</v>
      </c>
      <c r="E246" t="s">
        <v>347</v>
      </c>
      <c r="F246" t="s">
        <v>347</v>
      </c>
      <c r="G246" t="s">
        <v>0</v>
      </c>
      <c r="H246" s="6" t="s">
        <v>130</v>
      </c>
      <c r="I246" s="14">
        <v>2017</v>
      </c>
      <c r="J246" t="s">
        <v>135</v>
      </c>
      <c r="K246" t="s">
        <v>202</v>
      </c>
      <c r="L246" t="s">
        <v>136</v>
      </c>
    </row>
    <row r="247" spans="1:12" x14ac:dyDescent="0.25">
      <c r="A247" t="s">
        <v>5</v>
      </c>
      <c r="B247" s="14" t="s">
        <v>90</v>
      </c>
      <c r="C247" t="s">
        <v>348</v>
      </c>
      <c r="D247" t="s">
        <v>5</v>
      </c>
      <c r="E247" t="s">
        <v>348</v>
      </c>
      <c r="F247" t="s">
        <v>348</v>
      </c>
      <c r="G247" t="s">
        <v>0</v>
      </c>
      <c r="H247" s="6" t="s">
        <v>130</v>
      </c>
      <c r="I247" s="14">
        <v>2017</v>
      </c>
      <c r="J247" t="s">
        <v>135</v>
      </c>
      <c r="K247" t="s">
        <v>202</v>
      </c>
      <c r="L247" t="s">
        <v>136</v>
      </c>
    </row>
    <row r="248" spans="1:12" x14ac:dyDescent="0.25">
      <c r="A248" t="s">
        <v>5</v>
      </c>
      <c r="B248" s="14" t="s">
        <v>90</v>
      </c>
      <c r="C248" t="s">
        <v>279</v>
      </c>
      <c r="D248" t="s">
        <v>5</v>
      </c>
      <c r="E248" t="s">
        <v>279</v>
      </c>
      <c r="F248" t="s">
        <v>279</v>
      </c>
      <c r="G248" t="s">
        <v>0</v>
      </c>
      <c r="H248" s="6" t="s">
        <v>130</v>
      </c>
      <c r="I248" s="14">
        <v>2017</v>
      </c>
      <c r="J248" t="s">
        <v>135</v>
      </c>
      <c r="K248" t="s">
        <v>202</v>
      </c>
      <c r="L248" t="s">
        <v>136</v>
      </c>
    </row>
    <row r="249" spans="1:12" x14ac:dyDescent="0.25">
      <c r="A249" t="s">
        <v>55</v>
      </c>
      <c r="B249" s="14" t="s">
        <v>55</v>
      </c>
      <c r="C249" t="s">
        <v>349</v>
      </c>
      <c r="D249" t="s">
        <v>55</v>
      </c>
      <c r="E249" t="s">
        <v>349</v>
      </c>
      <c r="F249" t="s">
        <v>349</v>
      </c>
      <c r="G249" t="s">
        <v>0</v>
      </c>
      <c r="H249" s="6" t="s">
        <v>130</v>
      </c>
      <c r="I249" s="14">
        <v>2017</v>
      </c>
      <c r="J249" t="s">
        <v>135</v>
      </c>
      <c r="K249" t="s">
        <v>202</v>
      </c>
      <c r="L249" t="s">
        <v>136</v>
      </c>
    </row>
    <row r="250" spans="1:12" x14ac:dyDescent="0.25">
      <c r="A250" t="s">
        <v>55</v>
      </c>
      <c r="B250" s="14" t="s">
        <v>56</v>
      </c>
      <c r="C250" t="s">
        <v>190</v>
      </c>
      <c r="D250" t="s">
        <v>55</v>
      </c>
      <c r="E250" t="s">
        <v>190</v>
      </c>
      <c r="F250" t="s">
        <v>190</v>
      </c>
      <c r="G250" t="s">
        <v>0</v>
      </c>
      <c r="H250" s="6" t="s">
        <v>130</v>
      </c>
      <c r="I250" s="14">
        <v>2017</v>
      </c>
      <c r="J250" t="s">
        <v>135</v>
      </c>
      <c r="K250" t="s">
        <v>202</v>
      </c>
      <c r="L250" t="s">
        <v>136</v>
      </c>
    </row>
    <row r="251" spans="1:12" x14ac:dyDescent="0.25">
      <c r="A251" t="s">
        <v>55</v>
      </c>
      <c r="B251" s="14" t="s">
        <v>55</v>
      </c>
      <c r="C251" t="s">
        <v>193</v>
      </c>
      <c r="D251" t="s">
        <v>55</v>
      </c>
      <c r="E251" t="s">
        <v>193</v>
      </c>
      <c r="F251" t="s">
        <v>193</v>
      </c>
      <c r="G251" t="s">
        <v>0</v>
      </c>
      <c r="H251" s="6" t="s">
        <v>130</v>
      </c>
      <c r="I251" s="14">
        <v>2017</v>
      </c>
      <c r="J251" t="s">
        <v>135</v>
      </c>
      <c r="K251" t="s">
        <v>202</v>
      </c>
      <c r="L251" t="s">
        <v>136</v>
      </c>
    </row>
    <row r="252" spans="1:12" x14ac:dyDescent="0.25">
      <c r="A252" t="s">
        <v>55</v>
      </c>
      <c r="B252" s="14" t="s">
        <v>55</v>
      </c>
      <c r="C252" t="s">
        <v>198</v>
      </c>
      <c r="D252" t="s">
        <v>55</v>
      </c>
      <c r="E252" t="s">
        <v>198</v>
      </c>
      <c r="F252" t="s">
        <v>198</v>
      </c>
      <c r="G252" t="s">
        <v>0</v>
      </c>
      <c r="H252" s="6" t="s">
        <v>130</v>
      </c>
      <c r="I252" s="14">
        <v>2017</v>
      </c>
      <c r="J252" t="s">
        <v>135</v>
      </c>
      <c r="K252" t="s">
        <v>202</v>
      </c>
      <c r="L252" t="s">
        <v>136</v>
      </c>
    </row>
    <row r="253" spans="1:12" x14ac:dyDescent="0.25">
      <c r="A253" t="s">
        <v>5</v>
      </c>
      <c r="B253" s="14" t="s">
        <v>27</v>
      </c>
      <c r="C253" t="s">
        <v>350</v>
      </c>
      <c r="D253" t="s">
        <v>5</v>
      </c>
      <c r="E253" t="s">
        <v>350</v>
      </c>
      <c r="F253" t="s">
        <v>350</v>
      </c>
      <c r="G253" t="s">
        <v>0</v>
      </c>
      <c r="H253" s="6" t="s">
        <v>130</v>
      </c>
      <c r="I253" s="14">
        <v>2017</v>
      </c>
      <c r="J253" t="s">
        <v>135</v>
      </c>
      <c r="K253" t="s">
        <v>202</v>
      </c>
      <c r="L253" t="s">
        <v>136</v>
      </c>
    </row>
    <row r="254" spans="1:12" x14ac:dyDescent="0.25">
      <c r="A254" t="s">
        <v>5</v>
      </c>
      <c r="B254" s="14" t="s">
        <v>27</v>
      </c>
      <c r="C254" t="s">
        <v>351</v>
      </c>
      <c r="D254" t="s">
        <v>5</v>
      </c>
      <c r="E254" t="s">
        <v>351</v>
      </c>
      <c r="F254" t="s">
        <v>351</v>
      </c>
      <c r="G254" t="s">
        <v>0</v>
      </c>
      <c r="H254" s="6" t="s">
        <v>130</v>
      </c>
      <c r="I254" s="14">
        <v>2017</v>
      </c>
      <c r="J254" t="s">
        <v>135</v>
      </c>
      <c r="K254" t="s">
        <v>202</v>
      </c>
      <c r="L254" t="s">
        <v>136</v>
      </c>
    </row>
    <row r="255" spans="1:12" x14ac:dyDescent="0.25">
      <c r="A255" t="s">
        <v>5</v>
      </c>
      <c r="B255" s="14" t="s">
        <v>38</v>
      </c>
      <c r="C255" t="s">
        <v>254</v>
      </c>
      <c r="D255" t="s">
        <v>5</v>
      </c>
      <c r="E255" t="s">
        <v>254</v>
      </c>
      <c r="F255" t="s">
        <v>254</v>
      </c>
      <c r="G255" t="s">
        <v>0</v>
      </c>
      <c r="H255" s="6" t="s">
        <v>130</v>
      </c>
      <c r="I255" s="14">
        <v>2017</v>
      </c>
      <c r="J255" t="s">
        <v>135</v>
      </c>
      <c r="K255" t="s">
        <v>202</v>
      </c>
      <c r="L255" t="s">
        <v>136</v>
      </c>
    </row>
    <row r="256" spans="1:12" x14ac:dyDescent="0.25">
      <c r="A256" t="s">
        <v>5</v>
      </c>
      <c r="B256" s="14" t="s">
        <v>38</v>
      </c>
      <c r="C256" t="s">
        <v>255</v>
      </c>
      <c r="D256" t="s">
        <v>5</v>
      </c>
      <c r="E256" t="s">
        <v>255</v>
      </c>
      <c r="F256" t="s">
        <v>255</v>
      </c>
      <c r="G256" t="s">
        <v>0</v>
      </c>
      <c r="H256" s="6" t="s">
        <v>130</v>
      </c>
      <c r="I256" s="14">
        <v>2017</v>
      </c>
      <c r="J256" t="s">
        <v>135</v>
      </c>
      <c r="K256" t="s">
        <v>202</v>
      </c>
      <c r="L256" t="s">
        <v>136</v>
      </c>
    </row>
    <row r="257" spans="1:12" x14ac:dyDescent="0.25">
      <c r="A257" t="s">
        <v>5</v>
      </c>
      <c r="B257" s="14" t="s">
        <v>38</v>
      </c>
      <c r="C257" t="s">
        <v>253</v>
      </c>
      <c r="D257" t="s">
        <v>5</v>
      </c>
      <c r="E257" t="s">
        <v>253</v>
      </c>
      <c r="F257" t="s">
        <v>253</v>
      </c>
      <c r="G257" t="s">
        <v>0</v>
      </c>
      <c r="H257" s="6" t="s">
        <v>130</v>
      </c>
      <c r="I257" s="14">
        <v>2017</v>
      </c>
      <c r="J257" t="s">
        <v>135</v>
      </c>
      <c r="K257" t="s">
        <v>202</v>
      </c>
      <c r="L257" t="s">
        <v>136</v>
      </c>
    </row>
    <row r="258" spans="1:12" x14ac:dyDescent="0.25">
      <c r="A258" t="s">
        <v>5</v>
      </c>
      <c r="B258" s="14" t="s">
        <v>38</v>
      </c>
      <c r="C258" t="s">
        <v>179</v>
      </c>
      <c r="D258" t="s">
        <v>5</v>
      </c>
      <c r="E258" t="s">
        <v>179</v>
      </c>
      <c r="F258" t="s">
        <v>179</v>
      </c>
      <c r="G258" t="s">
        <v>0</v>
      </c>
      <c r="H258" s="6" t="s">
        <v>130</v>
      </c>
      <c r="I258" s="14">
        <v>2017</v>
      </c>
      <c r="J258" t="s">
        <v>135</v>
      </c>
      <c r="K258" t="s">
        <v>202</v>
      </c>
      <c r="L258" t="s">
        <v>136</v>
      </c>
    </row>
    <row r="259" spans="1:12" x14ac:dyDescent="0.25">
      <c r="A259" t="s">
        <v>5</v>
      </c>
      <c r="B259" s="14" t="s">
        <v>35</v>
      </c>
      <c r="C259" t="s">
        <v>352</v>
      </c>
      <c r="D259" t="s">
        <v>5</v>
      </c>
      <c r="E259" t="s">
        <v>352</v>
      </c>
      <c r="F259" t="s">
        <v>352</v>
      </c>
      <c r="G259" t="s">
        <v>0</v>
      </c>
      <c r="H259" s="6" t="s">
        <v>130</v>
      </c>
      <c r="I259" s="14">
        <v>2017</v>
      </c>
      <c r="J259" t="s">
        <v>135</v>
      </c>
      <c r="K259" t="s">
        <v>202</v>
      </c>
      <c r="L259" t="s">
        <v>136</v>
      </c>
    </row>
    <row r="260" spans="1:12" x14ac:dyDescent="0.25">
      <c r="A260" t="s">
        <v>5</v>
      </c>
      <c r="B260" s="14" t="s">
        <v>35</v>
      </c>
      <c r="C260" t="s">
        <v>185</v>
      </c>
      <c r="D260" t="s">
        <v>5</v>
      </c>
      <c r="E260" t="s">
        <v>185</v>
      </c>
      <c r="F260" t="s">
        <v>185</v>
      </c>
      <c r="G260" t="s">
        <v>0</v>
      </c>
      <c r="H260" s="6" t="s">
        <v>130</v>
      </c>
      <c r="I260" s="14">
        <v>2017</v>
      </c>
      <c r="J260" t="s">
        <v>135</v>
      </c>
      <c r="K260" t="s">
        <v>202</v>
      </c>
      <c r="L260" t="s">
        <v>136</v>
      </c>
    </row>
    <row r="261" spans="1:12" x14ac:dyDescent="0.25">
      <c r="A261" t="s">
        <v>5</v>
      </c>
      <c r="B261" s="14" t="s">
        <v>38</v>
      </c>
      <c r="C261" t="s">
        <v>353</v>
      </c>
      <c r="D261" t="s">
        <v>5</v>
      </c>
      <c r="E261" t="s">
        <v>353</v>
      </c>
      <c r="F261" t="s">
        <v>353</v>
      </c>
      <c r="G261" t="s">
        <v>0</v>
      </c>
      <c r="H261" s="6" t="s">
        <v>130</v>
      </c>
      <c r="I261" s="14">
        <v>2017</v>
      </c>
      <c r="J261" t="s">
        <v>135</v>
      </c>
      <c r="K261" t="s">
        <v>202</v>
      </c>
      <c r="L261" t="s">
        <v>136</v>
      </c>
    </row>
    <row r="262" spans="1:12" x14ac:dyDescent="0.25">
      <c r="A262" t="s">
        <v>5</v>
      </c>
      <c r="B262" s="14" t="s">
        <v>38</v>
      </c>
      <c r="C262" t="s">
        <v>354</v>
      </c>
      <c r="D262" t="s">
        <v>5</v>
      </c>
      <c r="E262" t="s">
        <v>354</v>
      </c>
      <c r="F262" t="s">
        <v>354</v>
      </c>
      <c r="G262" t="s">
        <v>0</v>
      </c>
      <c r="H262" s="6" t="s">
        <v>130</v>
      </c>
      <c r="I262" s="14">
        <v>2017</v>
      </c>
      <c r="J262" t="s">
        <v>135</v>
      </c>
      <c r="K262" t="s">
        <v>202</v>
      </c>
      <c r="L262" t="s">
        <v>136</v>
      </c>
    </row>
    <row r="263" spans="1:12" x14ac:dyDescent="0.25">
      <c r="A263" t="s">
        <v>5</v>
      </c>
      <c r="B263" s="14" t="s">
        <v>38</v>
      </c>
      <c r="C263" t="s">
        <v>355</v>
      </c>
      <c r="D263" t="s">
        <v>5</v>
      </c>
      <c r="E263" t="s">
        <v>355</v>
      </c>
      <c r="F263" t="s">
        <v>355</v>
      </c>
      <c r="G263" t="s">
        <v>0</v>
      </c>
      <c r="H263" s="6" t="s">
        <v>130</v>
      </c>
      <c r="I263" s="14">
        <v>2017</v>
      </c>
      <c r="J263" t="s">
        <v>135</v>
      </c>
      <c r="K263" t="s">
        <v>202</v>
      </c>
      <c r="L263" t="s">
        <v>136</v>
      </c>
    </row>
    <row r="264" spans="1:12" x14ac:dyDescent="0.25">
      <c r="A264" t="s">
        <v>5</v>
      </c>
      <c r="B264" s="14" t="s">
        <v>38</v>
      </c>
      <c r="C264" t="s">
        <v>301</v>
      </c>
      <c r="D264" t="s">
        <v>5</v>
      </c>
      <c r="E264" t="s">
        <v>301</v>
      </c>
      <c r="F264" t="s">
        <v>301</v>
      </c>
      <c r="G264" t="s">
        <v>0</v>
      </c>
      <c r="H264" s="6" t="s">
        <v>130</v>
      </c>
      <c r="I264" s="14">
        <v>2017</v>
      </c>
      <c r="J264" t="s">
        <v>135</v>
      </c>
      <c r="K264" t="s">
        <v>202</v>
      </c>
      <c r="L264" t="s">
        <v>136</v>
      </c>
    </row>
    <row r="265" spans="1:12" x14ac:dyDescent="0.25">
      <c r="A265" t="s">
        <v>5</v>
      </c>
      <c r="B265" s="14" t="s">
        <v>38</v>
      </c>
      <c r="C265" t="s">
        <v>356</v>
      </c>
      <c r="D265" t="s">
        <v>5</v>
      </c>
      <c r="E265" t="s">
        <v>356</v>
      </c>
      <c r="F265" t="s">
        <v>356</v>
      </c>
      <c r="G265" t="s">
        <v>0</v>
      </c>
      <c r="H265" s="6" t="s">
        <v>130</v>
      </c>
      <c r="I265" s="14">
        <v>2017</v>
      </c>
      <c r="J265" t="s">
        <v>135</v>
      </c>
      <c r="K265" t="s">
        <v>202</v>
      </c>
      <c r="L265" t="s">
        <v>136</v>
      </c>
    </row>
    <row r="266" spans="1:12" x14ac:dyDescent="0.25">
      <c r="A266" t="s">
        <v>5</v>
      </c>
      <c r="B266" s="14" t="s">
        <v>38</v>
      </c>
      <c r="C266" t="s">
        <v>357</v>
      </c>
      <c r="D266" t="s">
        <v>5</v>
      </c>
      <c r="E266" t="s">
        <v>357</v>
      </c>
      <c r="F266" t="s">
        <v>357</v>
      </c>
      <c r="G266" t="s">
        <v>0</v>
      </c>
      <c r="H266" s="6" t="s">
        <v>130</v>
      </c>
      <c r="I266" s="14">
        <v>2017</v>
      </c>
      <c r="J266" t="s">
        <v>135</v>
      </c>
      <c r="K266" t="s">
        <v>202</v>
      </c>
      <c r="L266" t="s">
        <v>136</v>
      </c>
    </row>
    <row r="267" spans="1:12" x14ac:dyDescent="0.25">
      <c r="A267" t="s">
        <v>5</v>
      </c>
      <c r="B267" s="14" t="s">
        <v>38</v>
      </c>
      <c r="C267" t="s">
        <v>300</v>
      </c>
      <c r="D267" t="s">
        <v>5</v>
      </c>
      <c r="E267" t="s">
        <v>300</v>
      </c>
      <c r="F267" t="s">
        <v>300</v>
      </c>
      <c r="G267" t="s">
        <v>0</v>
      </c>
      <c r="H267" s="6" t="s">
        <v>130</v>
      </c>
      <c r="I267" s="14">
        <v>2017</v>
      </c>
      <c r="J267" t="s">
        <v>135</v>
      </c>
      <c r="K267" t="s">
        <v>202</v>
      </c>
      <c r="L267" t="s">
        <v>136</v>
      </c>
    </row>
    <row r="268" spans="1:12" x14ac:dyDescent="0.25">
      <c r="A268" t="s">
        <v>5</v>
      </c>
      <c r="B268" s="14" t="s">
        <v>38</v>
      </c>
      <c r="C268" t="s">
        <v>358</v>
      </c>
      <c r="D268" t="s">
        <v>5</v>
      </c>
      <c r="E268" t="s">
        <v>358</v>
      </c>
      <c r="F268" t="s">
        <v>358</v>
      </c>
      <c r="G268" t="s">
        <v>0</v>
      </c>
      <c r="H268" s="6" t="s">
        <v>130</v>
      </c>
      <c r="I268" s="14">
        <v>2017</v>
      </c>
      <c r="J268" t="s">
        <v>135</v>
      </c>
      <c r="K268" t="s">
        <v>202</v>
      </c>
      <c r="L268" t="s">
        <v>136</v>
      </c>
    </row>
    <row r="269" spans="1:12" x14ac:dyDescent="0.25">
      <c r="A269" t="s">
        <v>5</v>
      </c>
      <c r="B269" s="14" t="s">
        <v>38</v>
      </c>
      <c r="C269" t="s">
        <v>359</v>
      </c>
      <c r="D269" t="s">
        <v>5</v>
      </c>
      <c r="E269" t="s">
        <v>359</v>
      </c>
      <c r="F269" t="s">
        <v>359</v>
      </c>
      <c r="G269" t="s">
        <v>0</v>
      </c>
      <c r="H269" s="6" t="s">
        <v>130</v>
      </c>
      <c r="I269" s="14">
        <v>2017</v>
      </c>
      <c r="J269" t="s">
        <v>135</v>
      </c>
      <c r="K269" t="s">
        <v>202</v>
      </c>
      <c r="L269" t="s">
        <v>136</v>
      </c>
    </row>
    <row r="270" spans="1:12" x14ac:dyDescent="0.25">
      <c r="A270" t="s">
        <v>5</v>
      </c>
      <c r="B270" s="14" t="s">
        <v>38</v>
      </c>
      <c r="C270" t="s">
        <v>360</v>
      </c>
      <c r="D270" t="s">
        <v>5</v>
      </c>
      <c r="E270" t="s">
        <v>360</v>
      </c>
      <c r="F270" t="s">
        <v>360</v>
      </c>
      <c r="G270" t="s">
        <v>0</v>
      </c>
      <c r="H270" s="6" t="s">
        <v>130</v>
      </c>
      <c r="I270" s="14">
        <v>2017</v>
      </c>
      <c r="J270" t="s">
        <v>135</v>
      </c>
      <c r="K270" t="s">
        <v>202</v>
      </c>
      <c r="L270" t="s">
        <v>136</v>
      </c>
    </row>
    <row r="271" spans="1:12" x14ac:dyDescent="0.25">
      <c r="A271" t="s">
        <v>5</v>
      </c>
      <c r="B271" s="14" t="s">
        <v>38</v>
      </c>
      <c r="C271" t="s">
        <v>298</v>
      </c>
      <c r="D271" t="s">
        <v>5</v>
      </c>
      <c r="E271" t="s">
        <v>298</v>
      </c>
      <c r="F271" t="s">
        <v>298</v>
      </c>
      <c r="G271" t="s">
        <v>0</v>
      </c>
      <c r="H271" s="6" t="s">
        <v>130</v>
      </c>
      <c r="I271" s="14">
        <v>2017</v>
      </c>
      <c r="J271" t="s">
        <v>135</v>
      </c>
      <c r="K271" t="s">
        <v>202</v>
      </c>
      <c r="L271" t="s">
        <v>136</v>
      </c>
    </row>
    <row r="272" spans="1:12" x14ac:dyDescent="0.25">
      <c r="A272" t="s">
        <v>5</v>
      </c>
      <c r="B272" s="14" t="s">
        <v>38</v>
      </c>
      <c r="C272" t="s">
        <v>361</v>
      </c>
      <c r="D272" t="s">
        <v>5</v>
      </c>
      <c r="E272" t="s">
        <v>361</v>
      </c>
      <c r="F272" t="s">
        <v>361</v>
      </c>
      <c r="G272" t="s">
        <v>0</v>
      </c>
      <c r="H272" s="6" t="s">
        <v>130</v>
      </c>
      <c r="I272" s="14">
        <v>2017</v>
      </c>
      <c r="J272" t="s">
        <v>135</v>
      </c>
      <c r="K272" t="s">
        <v>202</v>
      </c>
      <c r="L272" t="s">
        <v>136</v>
      </c>
    </row>
    <row r="273" spans="1:12" x14ac:dyDescent="0.25">
      <c r="A273" t="s">
        <v>5</v>
      </c>
      <c r="B273" s="14" t="s">
        <v>38</v>
      </c>
      <c r="C273" t="s">
        <v>362</v>
      </c>
      <c r="D273" t="s">
        <v>5</v>
      </c>
      <c r="E273" t="s">
        <v>362</v>
      </c>
      <c r="F273" t="s">
        <v>362</v>
      </c>
      <c r="G273" t="s">
        <v>0</v>
      </c>
      <c r="H273" s="6" t="s">
        <v>130</v>
      </c>
      <c r="I273" s="14">
        <v>2017</v>
      </c>
      <c r="J273" t="s">
        <v>135</v>
      </c>
      <c r="K273" t="s">
        <v>202</v>
      </c>
      <c r="L273" t="s">
        <v>136</v>
      </c>
    </row>
    <row r="274" spans="1:12" x14ac:dyDescent="0.25">
      <c r="A274" t="s">
        <v>5</v>
      </c>
      <c r="B274" s="14" t="s">
        <v>38</v>
      </c>
      <c r="C274" t="s">
        <v>363</v>
      </c>
      <c r="D274" t="s">
        <v>5</v>
      </c>
      <c r="E274" t="s">
        <v>363</v>
      </c>
      <c r="F274" t="s">
        <v>363</v>
      </c>
      <c r="G274" t="s">
        <v>0</v>
      </c>
      <c r="H274" s="6" t="s">
        <v>130</v>
      </c>
      <c r="I274" s="14">
        <v>2017</v>
      </c>
      <c r="J274" t="s">
        <v>135</v>
      </c>
      <c r="K274" t="s">
        <v>202</v>
      </c>
      <c r="L274" t="s">
        <v>136</v>
      </c>
    </row>
    <row r="275" spans="1:12" x14ac:dyDescent="0.25">
      <c r="A275" t="s">
        <v>5</v>
      </c>
      <c r="B275" s="14" t="s">
        <v>38</v>
      </c>
      <c r="C275" t="s">
        <v>302</v>
      </c>
      <c r="D275" t="s">
        <v>5</v>
      </c>
      <c r="E275" t="s">
        <v>302</v>
      </c>
      <c r="F275" t="s">
        <v>302</v>
      </c>
      <c r="G275" t="s">
        <v>0</v>
      </c>
      <c r="H275" s="6" t="s">
        <v>130</v>
      </c>
      <c r="I275" s="14">
        <v>2017</v>
      </c>
      <c r="J275" t="s">
        <v>135</v>
      </c>
      <c r="K275" t="s">
        <v>202</v>
      </c>
      <c r="L275" t="s">
        <v>136</v>
      </c>
    </row>
    <row r="276" spans="1:12" x14ac:dyDescent="0.25">
      <c r="A276" t="s">
        <v>5</v>
      </c>
      <c r="B276" s="14" t="s">
        <v>38</v>
      </c>
      <c r="C276" t="s">
        <v>364</v>
      </c>
      <c r="D276" t="s">
        <v>5</v>
      </c>
      <c r="E276" t="s">
        <v>364</v>
      </c>
      <c r="F276" t="s">
        <v>364</v>
      </c>
      <c r="G276" t="s">
        <v>0</v>
      </c>
      <c r="H276" s="6" t="s">
        <v>130</v>
      </c>
      <c r="I276" s="14">
        <v>2017</v>
      </c>
      <c r="J276" t="s">
        <v>135</v>
      </c>
      <c r="K276" t="s">
        <v>202</v>
      </c>
      <c r="L276" t="s">
        <v>136</v>
      </c>
    </row>
    <row r="277" spans="1:12" x14ac:dyDescent="0.25">
      <c r="A277" t="s">
        <v>5</v>
      </c>
      <c r="B277" s="14" t="s">
        <v>38</v>
      </c>
      <c r="C277" t="s">
        <v>365</v>
      </c>
      <c r="D277" t="s">
        <v>5</v>
      </c>
      <c r="E277" t="s">
        <v>365</v>
      </c>
      <c r="F277" t="s">
        <v>365</v>
      </c>
      <c r="G277" t="s">
        <v>0</v>
      </c>
      <c r="H277" s="6" t="s">
        <v>130</v>
      </c>
      <c r="I277" s="14">
        <v>2017</v>
      </c>
      <c r="J277" t="s">
        <v>135</v>
      </c>
      <c r="K277" t="s">
        <v>202</v>
      </c>
      <c r="L277" t="s">
        <v>136</v>
      </c>
    </row>
    <row r="278" spans="1:12" x14ac:dyDescent="0.25">
      <c r="A278" t="s">
        <v>5</v>
      </c>
      <c r="B278" s="14" t="s">
        <v>38</v>
      </c>
      <c r="C278" t="s">
        <v>296</v>
      </c>
      <c r="D278" t="s">
        <v>5</v>
      </c>
      <c r="E278" t="s">
        <v>296</v>
      </c>
      <c r="F278" t="s">
        <v>296</v>
      </c>
      <c r="G278" t="s">
        <v>0</v>
      </c>
      <c r="H278" s="6" t="s">
        <v>130</v>
      </c>
      <c r="I278" s="14">
        <v>2017</v>
      </c>
      <c r="J278" t="s">
        <v>135</v>
      </c>
      <c r="K278" t="s">
        <v>202</v>
      </c>
      <c r="L278" t="s">
        <v>136</v>
      </c>
    </row>
    <row r="279" spans="1:12" x14ac:dyDescent="0.25">
      <c r="A279" t="s">
        <v>5</v>
      </c>
      <c r="B279" s="14" t="s">
        <v>38</v>
      </c>
      <c r="C279" t="s">
        <v>292</v>
      </c>
      <c r="D279" t="s">
        <v>5</v>
      </c>
      <c r="E279" t="s">
        <v>292</v>
      </c>
      <c r="F279" t="s">
        <v>292</v>
      </c>
      <c r="G279" t="s">
        <v>0</v>
      </c>
      <c r="H279" s="6" t="s">
        <v>130</v>
      </c>
      <c r="I279" s="14">
        <v>2017</v>
      </c>
      <c r="J279" t="s">
        <v>135</v>
      </c>
      <c r="K279" t="s">
        <v>202</v>
      </c>
      <c r="L279" t="s">
        <v>136</v>
      </c>
    </row>
    <row r="280" spans="1:12" x14ac:dyDescent="0.25">
      <c r="A280" t="s">
        <v>5</v>
      </c>
      <c r="B280" s="14" t="s">
        <v>38</v>
      </c>
      <c r="C280" t="s">
        <v>366</v>
      </c>
      <c r="D280" t="s">
        <v>5</v>
      </c>
      <c r="E280" t="s">
        <v>366</v>
      </c>
      <c r="F280" t="s">
        <v>366</v>
      </c>
      <c r="G280" t="s">
        <v>0</v>
      </c>
      <c r="H280" s="6" t="s">
        <v>130</v>
      </c>
      <c r="I280" s="14">
        <v>2017</v>
      </c>
      <c r="J280" t="s">
        <v>135</v>
      </c>
      <c r="K280" t="s">
        <v>202</v>
      </c>
      <c r="L280" t="s">
        <v>136</v>
      </c>
    </row>
    <row r="281" spans="1:12" x14ac:dyDescent="0.25">
      <c r="A281" t="s">
        <v>5</v>
      </c>
      <c r="B281" s="14" t="s">
        <v>38</v>
      </c>
      <c r="C281" t="s">
        <v>175</v>
      </c>
      <c r="D281" t="s">
        <v>5</v>
      </c>
      <c r="E281" t="s">
        <v>175</v>
      </c>
      <c r="F281" t="s">
        <v>175</v>
      </c>
      <c r="G281" t="s">
        <v>0</v>
      </c>
      <c r="H281" s="6" t="s">
        <v>130</v>
      </c>
      <c r="I281" s="14">
        <v>2017</v>
      </c>
      <c r="J281" t="s">
        <v>135</v>
      </c>
      <c r="K281" t="s">
        <v>202</v>
      </c>
      <c r="L281" t="s">
        <v>136</v>
      </c>
    </row>
    <row r="282" spans="1:12" x14ac:dyDescent="0.25">
      <c r="A282" t="s">
        <v>5</v>
      </c>
      <c r="B282" s="14" t="s">
        <v>38</v>
      </c>
      <c r="C282" t="s">
        <v>291</v>
      </c>
      <c r="D282" t="s">
        <v>5</v>
      </c>
      <c r="E282" t="s">
        <v>291</v>
      </c>
      <c r="F282" t="s">
        <v>291</v>
      </c>
      <c r="G282" t="s">
        <v>0</v>
      </c>
      <c r="H282" s="6" t="s">
        <v>130</v>
      </c>
      <c r="I282" s="14">
        <v>2017</v>
      </c>
      <c r="J282" t="s">
        <v>135</v>
      </c>
      <c r="K282" t="s">
        <v>202</v>
      </c>
      <c r="L282" t="s">
        <v>136</v>
      </c>
    </row>
    <row r="283" spans="1:12" x14ac:dyDescent="0.25">
      <c r="A283" t="s">
        <v>5</v>
      </c>
      <c r="B283" s="14" t="s">
        <v>38</v>
      </c>
      <c r="C283" t="s">
        <v>367</v>
      </c>
      <c r="D283" t="s">
        <v>5</v>
      </c>
      <c r="E283" t="s">
        <v>367</v>
      </c>
      <c r="F283" t="s">
        <v>367</v>
      </c>
      <c r="G283" t="s">
        <v>0</v>
      </c>
      <c r="H283" s="6" t="s">
        <v>130</v>
      </c>
      <c r="I283" s="14">
        <v>2017</v>
      </c>
      <c r="J283" t="s">
        <v>135</v>
      </c>
      <c r="K283" t="s">
        <v>202</v>
      </c>
      <c r="L283" t="s">
        <v>136</v>
      </c>
    </row>
    <row r="284" spans="1:12" x14ac:dyDescent="0.25">
      <c r="A284" t="s">
        <v>5</v>
      </c>
      <c r="B284" s="14" t="s">
        <v>38</v>
      </c>
      <c r="C284" t="s">
        <v>297</v>
      </c>
      <c r="D284" t="s">
        <v>5</v>
      </c>
      <c r="E284" t="s">
        <v>297</v>
      </c>
      <c r="F284" t="s">
        <v>297</v>
      </c>
      <c r="G284" t="s">
        <v>0</v>
      </c>
      <c r="H284" s="6" t="s">
        <v>130</v>
      </c>
      <c r="I284" s="14">
        <v>2017</v>
      </c>
      <c r="J284" t="s">
        <v>135</v>
      </c>
      <c r="K284" t="s">
        <v>202</v>
      </c>
      <c r="L284" t="s">
        <v>136</v>
      </c>
    </row>
    <row r="285" spans="1:12" x14ac:dyDescent="0.25">
      <c r="A285" t="s">
        <v>5</v>
      </c>
      <c r="B285" s="14" t="s">
        <v>38</v>
      </c>
      <c r="C285" t="s">
        <v>368</v>
      </c>
      <c r="D285" t="s">
        <v>5</v>
      </c>
      <c r="E285" t="s">
        <v>368</v>
      </c>
      <c r="F285" t="s">
        <v>368</v>
      </c>
      <c r="G285" t="s">
        <v>0</v>
      </c>
      <c r="H285" s="6" t="s">
        <v>130</v>
      </c>
      <c r="I285" s="14">
        <v>2017</v>
      </c>
      <c r="J285" t="s">
        <v>135</v>
      </c>
      <c r="K285" t="s">
        <v>202</v>
      </c>
      <c r="L285" t="s">
        <v>136</v>
      </c>
    </row>
    <row r="286" spans="1:12" x14ac:dyDescent="0.25">
      <c r="A286" t="s">
        <v>5</v>
      </c>
      <c r="B286" s="14" t="s">
        <v>38</v>
      </c>
      <c r="C286" t="s">
        <v>369</v>
      </c>
      <c r="D286" t="s">
        <v>5</v>
      </c>
      <c r="E286" t="s">
        <v>369</v>
      </c>
      <c r="F286" t="s">
        <v>369</v>
      </c>
      <c r="G286" t="s">
        <v>0</v>
      </c>
      <c r="H286" s="6" t="s">
        <v>130</v>
      </c>
      <c r="I286" s="14">
        <v>2017</v>
      </c>
      <c r="J286" t="s">
        <v>135</v>
      </c>
      <c r="K286" t="s">
        <v>202</v>
      </c>
      <c r="L286" t="s">
        <v>136</v>
      </c>
    </row>
    <row r="287" spans="1:12" x14ac:dyDescent="0.25">
      <c r="A287" t="s">
        <v>5</v>
      </c>
      <c r="B287" s="14" t="s">
        <v>38</v>
      </c>
      <c r="C287" t="s">
        <v>290</v>
      </c>
      <c r="D287" t="s">
        <v>5</v>
      </c>
      <c r="E287" t="s">
        <v>290</v>
      </c>
      <c r="F287" t="s">
        <v>290</v>
      </c>
      <c r="G287" t="s">
        <v>0</v>
      </c>
      <c r="H287" s="6" t="s">
        <v>130</v>
      </c>
      <c r="I287" s="14">
        <v>2017</v>
      </c>
      <c r="J287" t="s">
        <v>135</v>
      </c>
      <c r="K287" t="s">
        <v>202</v>
      </c>
      <c r="L287" t="s">
        <v>136</v>
      </c>
    </row>
    <row r="288" spans="1:12" x14ac:dyDescent="0.25">
      <c r="A288" t="s">
        <v>5</v>
      </c>
      <c r="B288" s="14" t="s">
        <v>38</v>
      </c>
      <c r="C288" t="s">
        <v>370</v>
      </c>
      <c r="D288" t="s">
        <v>5</v>
      </c>
      <c r="E288" t="s">
        <v>370</v>
      </c>
      <c r="F288" t="s">
        <v>370</v>
      </c>
      <c r="G288" t="s">
        <v>0</v>
      </c>
      <c r="H288" s="6" t="s">
        <v>130</v>
      </c>
      <c r="I288" s="14">
        <v>2017</v>
      </c>
      <c r="J288" t="s">
        <v>135</v>
      </c>
      <c r="K288" t="s">
        <v>202</v>
      </c>
      <c r="L288" t="s">
        <v>136</v>
      </c>
    </row>
    <row r="289" spans="1:12" x14ac:dyDescent="0.25">
      <c r="A289" t="s">
        <v>5</v>
      </c>
      <c r="B289" s="14" t="s">
        <v>38</v>
      </c>
      <c r="C289" t="s">
        <v>371</v>
      </c>
      <c r="D289" t="s">
        <v>5</v>
      </c>
      <c r="E289" t="s">
        <v>371</v>
      </c>
      <c r="F289" t="s">
        <v>371</v>
      </c>
      <c r="G289" t="s">
        <v>0</v>
      </c>
      <c r="H289" s="6" t="s">
        <v>130</v>
      </c>
      <c r="I289" s="14">
        <v>2017</v>
      </c>
      <c r="J289" t="s">
        <v>135</v>
      </c>
      <c r="K289" t="s">
        <v>202</v>
      </c>
      <c r="L289" t="s">
        <v>136</v>
      </c>
    </row>
    <row r="290" spans="1:12" x14ac:dyDescent="0.25">
      <c r="A290" t="s">
        <v>5</v>
      </c>
      <c r="B290" s="14" t="s">
        <v>38</v>
      </c>
      <c r="C290" t="s">
        <v>372</v>
      </c>
      <c r="D290" t="s">
        <v>5</v>
      </c>
      <c r="E290" t="s">
        <v>372</v>
      </c>
      <c r="F290" t="s">
        <v>372</v>
      </c>
      <c r="G290" t="s">
        <v>0</v>
      </c>
      <c r="H290" s="6" t="s">
        <v>130</v>
      </c>
      <c r="I290" s="14">
        <v>2017</v>
      </c>
      <c r="J290" t="s">
        <v>135</v>
      </c>
      <c r="K290" t="s">
        <v>202</v>
      </c>
      <c r="L290" t="s">
        <v>136</v>
      </c>
    </row>
    <row r="291" spans="1:12" x14ac:dyDescent="0.25">
      <c r="A291" t="s">
        <v>5</v>
      </c>
      <c r="B291" s="14" t="s">
        <v>38</v>
      </c>
      <c r="C291" t="s">
        <v>205</v>
      </c>
      <c r="D291" t="s">
        <v>5</v>
      </c>
      <c r="E291" t="s">
        <v>205</v>
      </c>
      <c r="F291" t="s">
        <v>205</v>
      </c>
      <c r="G291" t="s">
        <v>0</v>
      </c>
      <c r="H291" s="6" t="s">
        <v>130</v>
      </c>
      <c r="I291" s="14">
        <v>2017</v>
      </c>
      <c r="J291" t="s">
        <v>135</v>
      </c>
      <c r="K291" t="s">
        <v>202</v>
      </c>
      <c r="L291" t="s">
        <v>136</v>
      </c>
    </row>
    <row r="292" spans="1:12" x14ac:dyDescent="0.25">
      <c r="A292" t="s">
        <v>5</v>
      </c>
      <c r="B292" s="14" t="s">
        <v>38</v>
      </c>
      <c r="C292" t="s">
        <v>373</v>
      </c>
      <c r="D292" t="s">
        <v>5</v>
      </c>
      <c r="E292" t="s">
        <v>373</v>
      </c>
      <c r="F292" t="s">
        <v>373</v>
      </c>
      <c r="G292" t="s">
        <v>0</v>
      </c>
      <c r="H292" s="6" t="s">
        <v>130</v>
      </c>
      <c r="I292" s="14">
        <v>2017</v>
      </c>
      <c r="J292" t="s">
        <v>135</v>
      </c>
      <c r="K292" t="s">
        <v>202</v>
      </c>
      <c r="L292" t="s">
        <v>136</v>
      </c>
    </row>
    <row r="293" spans="1:12" x14ac:dyDescent="0.25">
      <c r="A293" t="s">
        <v>5</v>
      </c>
      <c r="B293" s="14" t="s">
        <v>38</v>
      </c>
      <c r="C293" t="s">
        <v>374</v>
      </c>
      <c r="D293" t="s">
        <v>5</v>
      </c>
      <c r="E293" t="s">
        <v>374</v>
      </c>
      <c r="F293" t="s">
        <v>374</v>
      </c>
      <c r="G293" t="s">
        <v>0</v>
      </c>
      <c r="H293" s="6" t="s">
        <v>130</v>
      </c>
      <c r="I293" s="14">
        <v>2017</v>
      </c>
      <c r="J293" t="s">
        <v>135</v>
      </c>
      <c r="K293" t="s">
        <v>202</v>
      </c>
      <c r="L293" t="s">
        <v>136</v>
      </c>
    </row>
    <row r="294" spans="1:12" x14ac:dyDescent="0.25">
      <c r="A294" t="s">
        <v>5</v>
      </c>
      <c r="B294" s="14" t="s">
        <v>38</v>
      </c>
      <c r="C294" t="s">
        <v>293</v>
      </c>
      <c r="D294" t="s">
        <v>5</v>
      </c>
      <c r="E294" t="s">
        <v>293</v>
      </c>
      <c r="F294" t="s">
        <v>293</v>
      </c>
      <c r="G294" t="s">
        <v>0</v>
      </c>
      <c r="H294" s="6" t="s">
        <v>130</v>
      </c>
      <c r="I294" s="14">
        <v>2017</v>
      </c>
      <c r="J294" t="s">
        <v>135</v>
      </c>
      <c r="K294" t="s">
        <v>202</v>
      </c>
      <c r="L294" t="s">
        <v>136</v>
      </c>
    </row>
    <row r="295" spans="1:12" x14ac:dyDescent="0.25">
      <c r="A295" t="s">
        <v>5</v>
      </c>
      <c r="B295" s="14" t="s">
        <v>38</v>
      </c>
      <c r="C295" t="s">
        <v>294</v>
      </c>
      <c r="D295" t="s">
        <v>5</v>
      </c>
      <c r="E295" t="s">
        <v>294</v>
      </c>
      <c r="F295" t="s">
        <v>294</v>
      </c>
      <c r="G295" t="s">
        <v>0</v>
      </c>
      <c r="H295" s="6" t="s">
        <v>130</v>
      </c>
      <c r="I295" s="14">
        <v>2017</v>
      </c>
      <c r="J295" t="s">
        <v>135</v>
      </c>
      <c r="K295" t="s">
        <v>202</v>
      </c>
      <c r="L295" t="s">
        <v>136</v>
      </c>
    </row>
    <row r="296" spans="1:12" x14ac:dyDescent="0.25">
      <c r="A296" t="s">
        <v>5</v>
      </c>
      <c r="B296" s="14" t="s">
        <v>38</v>
      </c>
      <c r="C296" t="s">
        <v>375</v>
      </c>
      <c r="D296" t="s">
        <v>5</v>
      </c>
      <c r="E296" t="s">
        <v>375</v>
      </c>
      <c r="F296" t="s">
        <v>375</v>
      </c>
      <c r="G296" t="s">
        <v>0</v>
      </c>
      <c r="H296" s="6" t="s">
        <v>130</v>
      </c>
      <c r="I296" s="14">
        <v>2017</v>
      </c>
      <c r="J296" t="s">
        <v>135</v>
      </c>
      <c r="K296" t="s">
        <v>202</v>
      </c>
      <c r="L296" t="s">
        <v>136</v>
      </c>
    </row>
    <row r="297" spans="1:12" x14ac:dyDescent="0.25">
      <c r="A297" t="s">
        <v>5</v>
      </c>
      <c r="B297" s="14" t="s">
        <v>38</v>
      </c>
      <c r="C297" t="s">
        <v>376</v>
      </c>
      <c r="D297" t="s">
        <v>5</v>
      </c>
      <c r="E297" t="s">
        <v>376</v>
      </c>
      <c r="F297" t="s">
        <v>376</v>
      </c>
      <c r="G297" t="s">
        <v>0</v>
      </c>
      <c r="H297" s="6" t="s">
        <v>130</v>
      </c>
      <c r="I297" s="14">
        <v>2017</v>
      </c>
      <c r="J297" t="s">
        <v>135</v>
      </c>
      <c r="K297" t="s">
        <v>202</v>
      </c>
      <c r="L297" t="s">
        <v>136</v>
      </c>
    </row>
    <row r="298" spans="1:12" x14ac:dyDescent="0.25">
      <c r="A298" t="s">
        <v>5</v>
      </c>
      <c r="B298" s="14" t="s">
        <v>32</v>
      </c>
      <c r="C298" t="s">
        <v>282</v>
      </c>
      <c r="D298" t="s">
        <v>5</v>
      </c>
      <c r="E298" t="s">
        <v>282</v>
      </c>
      <c r="F298" t="s">
        <v>282</v>
      </c>
      <c r="G298" t="s">
        <v>0</v>
      </c>
      <c r="H298" s="6" t="s">
        <v>130</v>
      </c>
      <c r="I298" s="14">
        <v>2017</v>
      </c>
      <c r="J298" t="s">
        <v>135</v>
      </c>
      <c r="K298" t="s">
        <v>202</v>
      </c>
      <c r="L298" t="s">
        <v>136</v>
      </c>
    </row>
    <row r="299" spans="1:12" x14ac:dyDescent="0.25">
      <c r="A299" t="s">
        <v>5</v>
      </c>
      <c r="B299" s="14" t="s">
        <v>31</v>
      </c>
      <c r="C299" t="s">
        <v>281</v>
      </c>
      <c r="D299" t="s">
        <v>5</v>
      </c>
      <c r="E299" t="s">
        <v>281</v>
      </c>
      <c r="F299" t="s">
        <v>281</v>
      </c>
      <c r="G299" t="s">
        <v>0</v>
      </c>
      <c r="H299" s="6" t="s">
        <v>130</v>
      </c>
      <c r="I299" s="14">
        <v>2017</v>
      </c>
      <c r="J299" t="s">
        <v>135</v>
      </c>
      <c r="K299" t="s">
        <v>202</v>
      </c>
      <c r="L299" t="s">
        <v>136</v>
      </c>
    </row>
    <row r="300" spans="1:12" x14ac:dyDescent="0.25">
      <c r="A300" t="s">
        <v>5</v>
      </c>
      <c r="B300" s="14" t="s">
        <v>38</v>
      </c>
      <c r="C300" t="s">
        <v>289</v>
      </c>
      <c r="D300" t="s">
        <v>5</v>
      </c>
      <c r="E300" t="s">
        <v>289</v>
      </c>
      <c r="F300" t="s">
        <v>289</v>
      </c>
      <c r="G300" t="s">
        <v>0</v>
      </c>
      <c r="H300" s="6" t="s">
        <v>130</v>
      </c>
      <c r="I300" s="14">
        <v>2017</v>
      </c>
      <c r="J300" t="s">
        <v>135</v>
      </c>
      <c r="K300" t="s">
        <v>202</v>
      </c>
      <c r="L300" t="s">
        <v>136</v>
      </c>
    </row>
    <row r="301" spans="1:12" x14ac:dyDescent="0.25">
      <c r="A301" t="s">
        <v>5</v>
      </c>
      <c r="B301" s="14" t="s">
        <v>6</v>
      </c>
      <c r="C301" t="s">
        <v>377</v>
      </c>
      <c r="D301" t="s">
        <v>5</v>
      </c>
      <c r="E301" t="s">
        <v>377</v>
      </c>
      <c r="F301" t="s">
        <v>377</v>
      </c>
      <c r="G301" t="s">
        <v>0</v>
      </c>
      <c r="H301" s="6" t="s">
        <v>130</v>
      </c>
      <c r="I301" s="14">
        <v>2017</v>
      </c>
      <c r="J301" t="s">
        <v>135</v>
      </c>
      <c r="K301" t="s">
        <v>202</v>
      </c>
      <c r="L301" t="s">
        <v>136</v>
      </c>
    </row>
    <row r="302" spans="1:12" x14ac:dyDescent="0.25">
      <c r="A302" t="s">
        <v>5</v>
      </c>
      <c r="B302" s="14" t="s">
        <v>6</v>
      </c>
      <c r="C302" t="s">
        <v>378</v>
      </c>
      <c r="D302" t="s">
        <v>5</v>
      </c>
      <c r="E302" t="s">
        <v>378</v>
      </c>
      <c r="F302" t="s">
        <v>378</v>
      </c>
      <c r="G302" t="s">
        <v>0</v>
      </c>
      <c r="H302" s="6" t="s">
        <v>130</v>
      </c>
      <c r="I302" s="14">
        <v>2017</v>
      </c>
      <c r="J302" t="s">
        <v>135</v>
      </c>
      <c r="K302" t="s">
        <v>202</v>
      </c>
      <c r="L302" t="s">
        <v>136</v>
      </c>
    </row>
    <row r="303" spans="1:12" x14ac:dyDescent="0.25">
      <c r="A303" t="s">
        <v>5</v>
      </c>
      <c r="B303" s="14" t="s">
        <v>6</v>
      </c>
      <c r="C303" t="s">
        <v>379</v>
      </c>
      <c r="D303" t="s">
        <v>5</v>
      </c>
      <c r="E303" t="s">
        <v>379</v>
      </c>
      <c r="F303" t="s">
        <v>379</v>
      </c>
      <c r="G303" t="s">
        <v>0</v>
      </c>
      <c r="H303" s="6" t="s">
        <v>130</v>
      </c>
      <c r="I303" s="14">
        <v>2017</v>
      </c>
      <c r="J303" t="s">
        <v>135</v>
      </c>
      <c r="K303" t="s">
        <v>202</v>
      </c>
      <c r="L303" t="s">
        <v>136</v>
      </c>
    </row>
    <row r="304" spans="1:12" x14ac:dyDescent="0.25">
      <c r="A304" t="s">
        <v>5</v>
      </c>
      <c r="B304" s="14" t="s">
        <v>38</v>
      </c>
      <c r="C304" t="s">
        <v>295</v>
      </c>
      <c r="D304" t="s">
        <v>5</v>
      </c>
      <c r="E304" t="s">
        <v>295</v>
      </c>
      <c r="F304" t="s">
        <v>295</v>
      </c>
      <c r="G304" t="s">
        <v>0</v>
      </c>
      <c r="H304" s="6" t="s">
        <v>130</v>
      </c>
      <c r="I304" s="14">
        <v>2017</v>
      </c>
      <c r="J304" t="s">
        <v>135</v>
      </c>
      <c r="K304" t="s">
        <v>202</v>
      </c>
      <c r="L304" t="s">
        <v>136</v>
      </c>
    </row>
    <row r="305" spans="1:12" x14ac:dyDescent="0.25">
      <c r="A305" t="s">
        <v>5</v>
      </c>
      <c r="B305" s="14" t="s">
        <v>38</v>
      </c>
      <c r="C305" t="s">
        <v>380</v>
      </c>
      <c r="D305" t="s">
        <v>5</v>
      </c>
      <c r="E305" t="s">
        <v>380</v>
      </c>
      <c r="F305" t="s">
        <v>380</v>
      </c>
      <c r="G305" t="s">
        <v>0</v>
      </c>
      <c r="H305" s="6" t="s">
        <v>130</v>
      </c>
      <c r="I305" s="14">
        <v>2017</v>
      </c>
      <c r="J305" t="s">
        <v>135</v>
      </c>
      <c r="K305" t="s">
        <v>202</v>
      </c>
      <c r="L305" t="s">
        <v>136</v>
      </c>
    </row>
    <row r="306" spans="1:12" x14ac:dyDescent="0.25">
      <c r="A306" t="s">
        <v>5</v>
      </c>
      <c r="B306" s="14" t="s">
        <v>38</v>
      </c>
      <c r="C306" t="s">
        <v>204</v>
      </c>
      <c r="D306" t="s">
        <v>5</v>
      </c>
      <c r="E306" t="s">
        <v>204</v>
      </c>
      <c r="F306" t="s">
        <v>204</v>
      </c>
      <c r="G306" t="s">
        <v>0</v>
      </c>
      <c r="H306" s="6" t="s">
        <v>130</v>
      </c>
      <c r="I306" s="14">
        <v>2017</v>
      </c>
      <c r="J306" t="s">
        <v>135</v>
      </c>
      <c r="K306" t="s">
        <v>202</v>
      </c>
      <c r="L306" t="s">
        <v>136</v>
      </c>
    </row>
    <row r="307" spans="1:12" x14ac:dyDescent="0.25">
      <c r="A307" t="s">
        <v>5</v>
      </c>
      <c r="B307" s="14" t="s">
        <v>38</v>
      </c>
      <c r="C307" t="s">
        <v>381</v>
      </c>
      <c r="D307" t="s">
        <v>5</v>
      </c>
      <c r="E307" t="s">
        <v>381</v>
      </c>
      <c r="F307" t="s">
        <v>381</v>
      </c>
      <c r="G307" t="s">
        <v>0</v>
      </c>
      <c r="H307" s="6" t="s">
        <v>130</v>
      </c>
      <c r="I307" s="14">
        <v>2017</v>
      </c>
      <c r="J307" t="s">
        <v>135</v>
      </c>
      <c r="K307" t="s">
        <v>202</v>
      </c>
      <c r="L307" t="s">
        <v>136</v>
      </c>
    </row>
    <row r="308" spans="1:12" x14ac:dyDescent="0.25">
      <c r="A308" t="s">
        <v>5</v>
      </c>
      <c r="B308" s="14" t="s">
        <v>38</v>
      </c>
      <c r="C308" t="s">
        <v>266</v>
      </c>
      <c r="D308" t="s">
        <v>5</v>
      </c>
      <c r="E308" t="s">
        <v>266</v>
      </c>
      <c r="F308" t="s">
        <v>266</v>
      </c>
      <c r="G308" t="s">
        <v>0</v>
      </c>
      <c r="H308" s="6" t="s">
        <v>130</v>
      </c>
      <c r="I308" s="14">
        <v>2017</v>
      </c>
      <c r="J308" t="s">
        <v>135</v>
      </c>
      <c r="K308" t="s">
        <v>202</v>
      </c>
      <c r="L308" t="s">
        <v>136</v>
      </c>
    </row>
    <row r="309" spans="1:12" x14ac:dyDescent="0.25">
      <c r="A309" t="s">
        <v>5</v>
      </c>
      <c r="B309" s="14" t="s">
        <v>38</v>
      </c>
      <c r="C309" t="s">
        <v>264</v>
      </c>
      <c r="D309" t="s">
        <v>5</v>
      </c>
      <c r="E309" t="s">
        <v>264</v>
      </c>
      <c r="F309" t="s">
        <v>264</v>
      </c>
      <c r="G309" t="s">
        <v>0</v>
      </c>
      <c r="H309" s="6" t="s">
        <v>130</v>
      </c>
      <c r="I309" s="14">
        <v>2017</v>
      </c>
      <c r="J309" t="s">
        <v>135</v>
      </c>
      <c r="K309" t="s">
        <v>202</v>
      </c>
      <c r="L309" t="s">
        <v>136</v>
      </c>
    </row>
    <row r="310" spans="1:12" x14ac:dyDescent="0.25">
      <c r="A310" t="s">
        <v>5</v>
      </c>
      <c r="B310" s="14" t="s">
        <v>38</v>
      </c>
      <c r="C310" t="s">
        <v>265</v>
      </c>
      <c r="D310" t="s">
        <v>5</v>
      </c>
      <c r="E310" t="s">
        <v>265</v>
      </c>
      <c r="F310" t="s">
        <v>265</v>
      </c>
      <c r="G310" t="s">
        <v>0</v>
      </c>
      <c r="H310" s="6" t="s">
        <v>130</v>
      </c>
      <c r="I310" s="14">
        <v>2017</v>
      </c>
      <c r="J310" t="s">
        <v>135</v>
      </c>
      <c r="K310" t="s">
        <v>202</v>
      </c>
      <c r="L310" t="s">
        <v>136</v>
      </c>
    </row>
    <row r="311" spans="1:12" x14ac:dyDescent="0.25">
      <c r="A311" t="s">
        <v>5</v>
      </c>
      <c r="B311" s="14" t="s">
        <v>38</v>
      </c>
      <c r="C311" t="s">
        <v>263</v>
      </c>
      <c r="D311" t="s">
        <v>5</v>
      </c>
      <c r="E311" t="s">
        <v>263</v>
      </c>
      <c r="F311" t="s">
        <v>263</v>
      </c>
      <c r="G311" t="s">
        <v>0</v>
      </c>
      <c r="H311" s="6" t="s">
        <v>130</v>
      </c>
      <c r="I311" s="14">
        <v>2017</v>
      </c>
      <c r="J311" t="s">
        <v>135</v>
      </c>
      <c r="K311" t="s">
        <v>202</v>
      </c>
      <c r="L311" t="s">
        <v>136</v>
      </c>
    </row>
    <row r="312" spans="1:12" x14ac:dyDescent="0.25">
      <c r="A312" t="s">
        <v>5</v>
      </c>
      <c r="B312" s="14" t="s">
        <v>18</v>
      </c>
      <c r="C312" t="s">
        <v>382</v>
      </c>
      <c r="D312" t="s">
        <v>5</v>
      </c>
      <c r="E312" t="s">
        <v>382</v>
      </c>
      <c r="F312" t="s">
        <v>382</v>
      </c>
      <c r="G312" t="s">
        <v>0</v>
      </c>
      <c r="H312" s="6" t="s">
        <v>130</v>
      </c>
      <c r="I312" s="14">
        <v>2017</v>
      </c>
      <c r="J312" t="s">
        <v>135</v>
      </c>
      <c r="K312" t="s">
        <v>202</v>
      </c>
      <c r="L312" t="s">
        <v>136</v>
      </c>
    </row>
    <row r="313" spans="1:12" x14ac:dyDescent="0.25">
      <c r="A313" t="s">
        <v>5</v>
      </c>
      <c r="B313" s="14" t="s">
        <v>18</v>
      </c>
      <c r="C313" t="s">
        <v>383</v>
      </c>
      <c r="D313" t="s">
        <v>5</v>
      </c>
      <c r="E313" t="s">
        <v>383</v>
      </c>
      <c r="F313" t="s">
        <v>383</v>
      </c>
      <c r="G313" t="s">
        <v>0</v>
      </c>
      <c r="H313" s="6" t="s">
        <v>130</v>
      </c>
      <c r="I313" s="14">
        <v>2017</v>
      </c>
      <c r="J313" t="s">
        <v>135</v>
      </c>
      <c r="K313" t="s">
        <v>202</v>
      </c>
      <c r="L313" t="s">
        <v>136</v>
      </c>
    </row>
    <row r="314" spans="1:12" x14ac:dyDescent="0.25">
      <c r="A314" t="s">
        <v>5</v>
      </c>
      <c r="B314" s="14" t="s">
        <v>18</v>
      </c>
      <c r="C314" t="s">
        <v>384</v>
      </c>
      <c r="D314" t="s">
        <v>5</v>
      </c>
      <c r="E314" t="s">
        <v>384</v>
      </c>
      <c r="F314" t="s">
        <v>384</v>
      </c>
      <c r="G314" t="s">
        <v>0</v>
      </c>
      <c r="H314" s="6" t="s">
        <v>130</v>
      </c>
      <c r="I314" s="14">
        <v>2017</v>
      </c>
      <c r="J314" t="s">
        <v>135</v>
      </c>
      <c r="K314" t="s">
        <v>202</v>
      </c>
      <c r="L314" t="s">
        <v>136</v>
      </c>
    </row>
    <row r="315" spans="1:12" x14ac:dyDescent="0.25">
      <c r="A315" t="s">
        <v>5</v>
      </c>
      <c r="B315" s="14" t="s">
        <v>18</v>
      </c>
      <c r="C315" t="s">
        <v>385</v>
      </c>
      <c r="D315" t="s">
        <v>5</v>
      </c>
      <c r="E315" t="s">
        <v>385</v>
      </c>
      <c r="F315" t="s">
        <v>385</v>
      </c>
      <c r="G315" t="s">
        <v>0</v>
      </c>
      <c r="H315" s="6" t="s">
        <v>130</v>
      </c>
      <c r="I315" s="14">
        <v>2017</v>
      </c>
      <c r="J315" t="s">
        <v>135</v>
      </c>
      <c r="K315" t="s">
        <v>202</v>
      </c>
      <c r="L315" t="s">
        <v>136</v>
      </c>
    </row>
    <row r="316" spans="1:12" x14ac:dyDescent="0.25">
      <c r="A316" t="s">
        <v>5</v>
      </c>
      <c r="B316" s="14" t="s">
        <v>18</v>
      </c>
      <c r="C316" t="s">
        <v>386</v>
      </c>
      <c r="D316" t="s">
        <v>5</v>
      </c>
      <c r="E316" t="s">
        <v>386</v>
      </c>
      <c r="F316" t="s">
        <v>386</v>
      </c>
      <c r="G316" t="s">
        <v>0</v>
      </c>
      <c r="H316" s="6" t="s">
        <v>130</v>
      </c>
      <c r="I316" s="14">
        <v>2017</v>
      </c>
      <c r="J316" t="s">
        <v>135</v>
      </c>
      <c r="K316" t="s">
        <v>202</v>
      </c>
      <c r="L316" t="s">
        <v>136</v>
      </c>
    </row>
    <row r="317" spans="1:12" x14ac:dyDescent="0.25">
      <c r="A317" t="s">
        <v>5</v>
      </c>
      <c r="B317" s="14" t="s">
        <v>18</v>
      </c>
      <c r="C317" t="s">
        <v>387</v>
      </c>
      <c r="D317" t="s">
        <v>5</v>
      </c>
      <c r="E317" t="s">
        <v>387</v>
      </c>
      <c r="F317" t="s">
        <v>387</v>
      </c>
      <c r="G317" t="s">
        <v>0</v>
      </c>
      <c r="H317" s="6" t="s">
        <v>130</v>
      </c>
      <c r="I317" s="14">
        <v>2017</v>
      </c>
      <c r="J317" t="s">
        <v>135</v>
      </c>
      <c r="K317" t="s">
        <v>202</v>
      </c>
      <c r="L317" t="s">
        <v>136</v>
      </c>
    </row>
    <row r="318" spans="1:12" x14ac:dyDescent="0.25">
      <c r="A318" t="s">
        <v>5</v>
      </c>
      <c r="B318" s="14" t="s">
        <v>15</v>
      </c>
      <c r="C318" t="s">
        <v>388</v>
      </c>
      <c r="D318" t="s">
        <v>5</v>
      </c>
      <c r="E318" t="s">
        <v>388</v>
      </c>
      <c r="F318" t="s">
        <v>388</v>
      </c>
      <c r="G318" t="s">
        <v>0</v>
      </c>
      <c r="H318" s="6" t="s">
        <v>130</v>
      </c>
      <c r="I318" s="14">
        <v>2017</v>
      </c>
      <c r="J318" t="s">
        <v>135</v>
      </c>
      <c r="K318" t="s">
        <v>202</v>
      </c>
      <c r="L318" t="s">
        <v>136</v>
      </c>
    </row>
    <row r="319" spans="1:12" x14ac:dyDescent="0.25">
      <c r="A319" t="s">
        <v>5</v>
      </c>
      <c r="B319" s="14" t="s">
        <v>34</v>
      </c>
      <c r="C319" t="s">
        <v>389</v>
      </c>
      <c r="D319" t="s">
        <v>5</v>
      </c>
      <c r="E319" t="s">
        <v>389</v>
      </c>
      <c r="F319" t="s">
        <v>389</v>
      </c>
      <c r="G319" t="s">
        <v>0</v>
      </c>
      <c r="H319" s="6" t="s">
        <v>130</v>
      </c>
      <c r="I319" s="14">
        <v>2017</v>
      </c>
      <c r="J319" t="s">
        <v>135</v>
      </c>
      <c r="K319" t="s">
        <v>202</v>
      </c>
      <c r="L319" t="s">
        <v>136</v>
      </c>
    </row>
    <row r="320" spans="1:12" x14ac:dyDescent="0.25">
      <c r="A320" t="s">
        <v>5</v>
      </c>
      <c r="B320" s="14" t="s">
        <v>29</v>
      </c>
      <c r="C320" t="s">
        <v>390</v>
      </c>
      <c r="D320" t="s">
        <v>5</v>
      </c>
      <c r="E320" t="s">
        <v>390</v>
      </c>
      <c r="F320" t="s">
        <v>390</v>
      </c>
      <c r="G320" t="s">
        <v>0</v>
      </c>
      <c r="H320" s="6" t="s">
        <v>130</v>
      </c>
      <c r="I320" s="14">
        <v>2017</v>
      </c>
      <c r="J320" t="s">
        <v>135</v>
      </c>
      <c r="K320" t="s">
        <v>202</v>
      </c>
      <c r="L320" t="s">
        <v>136</v>
      </c>
    </row>
    <row r="321" spans="1:12" x14ac:dyDescent="0.25">
      <c r="A321" t="s">
        <v>5</v>
      </c>
      <c r="B321" s="14" t="s">
        <v>29</v>
      </c>
      <c r="C321" t="s">
        <v>284</v>
      </c>
      <c r="D321" t="s">
        <v>5</v>
      </c>
      <c r="E321" t="s">
        <v>284</v>
      </c>
      <c r="F321" t="s">
        <v>284</v>
      </c>
      <c r="G321" t="s">
        <v>0</v>
      </c>
      <c r="H321" s="6" t="s">
        <v>130</v>
      </c>
      <c r="I321" s="14">
        <v>2017</v>
      </c>
      <c r="J321" t="s">
        <v>135</v>
      </c>
      <c r="K321" t="s">
        <v>202</v>
      </c>
      <c r="L321" t="s">
        <v>136</v>
      </c>
    </row>
    <row r="322" spans="1:12" x14ac:dyDescent="0.25">
      <c r="A322" t="s">
        <v>5</v>
      </c>
      <c r="B322" s="14" t="s">
        <v>29</v>
      </c>
      <c r="C322" t="s">
        <v>285</v>
      </c>
      <c r="D322" t="s">
        <v>5</v>
      </c>
      <c r="E322" t="s">
        <v>285</v>
      </c>
      <c r="F322" t="s">
        <v>285</v>
      </c>
      <c r="G322" t="s">
        <v>0</v>
      </c>
      <c r="H322" s="6" t="s">
        <v>130</v>
      </c>
      <c r="I322" s="14">
        <v>2017</v>
      </c>
      <c r="J322" t="s">
        <v>135</v>
      </c>
      <c r="K322" t="s">
        <v>202</v>
      </c>
      <c r="L322" t="s">
        <v>136</v>
      </c>
    </row>
    <row r="323" spans="1:12" x14ac:dyDescent="0.25">
      <c r="A323" t="s">
        <v>5</v>
      </c>
      <c r="B323" s="14" t="s">
        <v>29</v>
      </c>
      <c r="C323" t="s">
        <v>283</v>
      </c>
      <c r="D323" t="s">
        <v>5</v>
      </c>
      <c r="E323" t="s">
        <v>283</v>
      </c>
      <c r="F323" t="s">
        <v>283</v>
      </c>
      <c r="G323" t="s">
        <v>0</v>
      </c>
      <c r="H323" s="6" t="s">
        <v>130</v>
      </c>
      <c r="I323" s="14">
        <v>2017</v>
      </c>
      <c r="J323" t="s">
        <v>135</v>
      </c>
      <c r="K323" t="s">
        <v>202</v>
      </c>
      <c r="L323" t="s">
        <v>136</v>
      </c>
    </row>
    <row r="324" spans="1:12" x14ac:dyDescent="0.25">
      <c r="A324" t="s">
        <v>5</v>
      </c>
      <c r="B324" s="14" t="s">
        <v>38</v>
      </c>
      <c r="C324" t="s">
        <v>286</v>
      </c>
      <c r="D324" t="s">
        <v>5</v>
      </c>
      <c r="E324" t="s">
        <v>286</v>
      </c>
      <c r="F324" t="s">
        <v>286</v>
      </c>
      <c r="G324" t="s">
        <v>0</v>
      </c>
      <c r="H324" s="6" t="s">
        <v>130</v>
      </c>
      <c r="I324" s="14">
        <v>2017</v>
      </c>
      <c r="J324" t="s">
        <v>135</v>
      </c>
      <c r="K324" t="s">
        <v>202</v>
      </c>
      <c r="L324" t="s">
        <v>136</v>
      </c>
    </row>
    <row r="325" spans="1:12" x14ac:dyDescent="0.25">
      <c r="A325" t="s">
        <v>5</v>
      </c>
      <c r="B325" s="14" t="s">
        <v>38</v>
      </c>
      <c r="C325" t="s">
        <v>391</v>
      </c>
      <c r="D325" t="s">
        <v>5</v>
      </c>
      <c r="E325" t="s">
        <v>391</v>
      </c>
      <c r="F325" t="s">
        <v>391</v>
      </c>
      <c r="G325" t="s">
        <v>0</v>
      </c>
      <c r="H325" s="6" t="s">
        <v>130</v>
      </c>
      <c r="I325" s="14">
        <v>2017</v>
      </c>
      <c r="J325" t="s">
        <v>135</v>
      </c>
      <c r="K325" t="s">
        <v>202</v>
      </c>
      <c r="L325" t="s">
        <v>136</v>
      </c>
    </row>
    <row r="326" spans="1:12" x14ac:dyDescent="0.25">
      <c r="A326" t="s">
        <v>5</v>
      </c>
      <c r="B326" s="14" t="s">
        <v>38</v>
      </c>
      <c r="C326" t="s">
        <v>206</v>
      </c>
      <c r="D326" t="s">
        <v>5</v>
      </c>
      <c r="E326" t="s">
        <v>206</v>
      </c>
      <c r="F326" t="s">
        <v>206</v>
      </c>
      <c r="G326" t="s">
        <v>0</v>
      </c>
      <c r="H326" s="6" t="s">
        <v>130</v>
      </c>
      <c r="I326" s="14">
        <v>2017</v>
      </c>
      <c r="J326" t="s">
        <v>135</v>
      </c>
      <c r="K326" t="s">
        <v>202</v>
      </c>
      <c r="L326" t="s">
        <v>136</v>
      </c>
    </row>
    <row r="327" spans="1:12" x14ac:dyDescent="0.25">
      <c r="A327" t="s">
        <v>5</v>
      </c>
      <c r="B327" s="14" t="s">
        <v>47</v>
      </c>
      <c r="C327" t="s">
        <v>240</v>
      </c>
      <c r="D327" t="s">
        <v>5</v>
      </c>
      <c r="E327" t="s">
        <v>240</v>
      </c>
      <c r="F327" t="s">
        <v>240</v>
      </c>
      <c r="G327" t="s">
        <v>0</v>
      </c>
      <c r="H327" s="6" t="s">
        <v>130</v>
      </c>
      <c r="I327" s="14">
        <v>2017</v>
      </c>
      <c r="J327" t="s">
        <v>135</v>
      </c>
      <c r="K327" t="s">
        <v>202</v>
      </c>
      <c r="L327" t="s">
        <v>136</v>
      </c>
    </row>
    <row r="328" spans="1:12" x14ac:dyDescent="0.25">
      <c r="A328" t="s">
        <v>5</v>
      </c>
      <c r="B328" s="14" t="s">
        <v>47</v>
      </c>
      <c r="C328" t="s">
        <v>392</v>
      </c>
      <c r="D328" t="s">
        <v>5</v>
      </c>
      <c r="E328" t="s">
        <v>392</v>
      </c>
      <c r="F328" t="s">
        <v>392</v>
      </c>
      <c r="G328" t="s">
        <v>0</v>
      </c>
      <c r="H328" s="6" t="s">
        <v>130</v>
      </c>
      <c r="I328" s="14">
        <v>2017</v>
      </c>
      <c r="J328" t="s">
        <v>135</v>
      </c>
      <c r="K328" t="s">
        <v>202</v>
      </c>
      <c r="L328" t="s">
        <v>136</v>
      </c>
    </row>
    <row r="329" spans="1:12" x14ac:dyDescent="0.25">
      <c r="A329" t="s">
        <v>5</v>
      </c>
      <c r="B329" s="14" t="s">
        <v>47</v>
      </c>
      <c r="C329" t="s">
        <v>207</v>
      </c>
      <c r="D329" t="s">
        <v>5</v>
      </c>
      <c r="E329" t="s">
        <v>207</v>
      </c>
      <c r="F329" t="s">
        <v>207</v>
      </c>
      <c r="G329" t="s">
        <v>0</v>
      </c>
      <c r="H329" s="6" t="s">
        <v>130</v>
      </c>
      <c r="I329" s="14">
        <v>2017</v>
      </c>
      <c r="J329" t="s">
        <v>135</v>
      </c>
      <c r="K329" t="s">
        <v>202</v>
      </c>
      <c r="L329" t="s">
        <v>136</v>
      </c>
    </row>
    <row r="330" spans="1:12" x14ac:dyDescent="0.25">
      <c r="A330" t="s">
        <v>5</v>
      </c>
      <c r="B330" s="14" t="s">
        <v>38</v>
      </c>
      <c r="C330" t="s">
        <v>393</v>
      </c>
      <c r="D330" t="s">
        <v>5</v>
      </c>
      <c r="E330" t="s">
        <v>393</v>
      </c>
      <c r="F330" t="s">
        <v>393</v>
      </c>
      <c r="G330" t="s">
        <v>0</v>
      </c>
      <c r="H330" s="6" t="s">
        <v>130</v>
      </c>
      <c r="I330" s="14">
        <v>2017</v>
      </c>
      <c r="J330" t="s">
        <v>135</v>
      </c>
      <c r="K330" t="s">
        <v>202</v>
      </c>
      <c r="L330" t="s">
        <v>136</v>
      </c>
    </row>
    <row r="331" spans="1:12" x14ac:dyDescent="0.25">
      <c r="A331" t="s">
        <v>5</v>
      </c>
      <c r="B331" s="14" t="s">
        <v>38</v>
      </c>
      <c r="C331" t="s">
        <v>176</v>
      </c>
      <c r="D331" t="s">
        <v>5</v>
      </c>
      <c r="E331" t="s">
        <v>176</v>
      </c>
      <c r="F331" t="s">
        <v>176</v>
      </c>
      <c r="G331" t="s">
        <v>0</v>
      </c>
      <c r="H331" s="6" t="s">
        <v>130</v>
      </c>
      <c r="I331" s="14">
        <v>2017</v>
      </c>
      <c r="J331" t="s">
        <v>135</v>
      </c>
      <c r="K331" t="s">
        <v>202</v>
      </c>
      <c r="L331" t="s">
        <v>136</v>
      </c>
    </row>
    <row r="332" spans="1:12" x14ac:dyDescent="0.25">
      <c r="A332" t="s">
        <v>5</v>
      </c>
      <c r="B332" s="14" t="s">
        <v>133</v>
      </c>
      <c r="C332" t="s">
        <v>241</v>
      </c>
      <c r="D332" t="s">
        <v>5</v>
      </c>
      <c r="E332" t="s">
        <v>241</v>
      </c>
      <c r="F332" t="s">
        <v>241</v>
      </c>
      <c r="G332" t="s">
        <v>0</v>
      </c>
      <c r="H332" s="6" t="s">
        <v>130</v>
      </c>
      <c r="I332" s="14">
        <v>2017</v>
      </c>
      <c r="J332" t="s">
        <v>135</v>
      </c>
      <c r="K332" t="s">
        <v>202</v>
      </c>
      <c r="L332" t="s">
        <v>136</v>
      </c>
    </row>
    <row r="333" spans="1:12" x14ac:dyDescent="0.25">
      <c r="A333" t="s">
        <v>5</v>
      </c>
      <c r="B333" s="14" t="s">
        <v>38</v>
      </c>
      <c r="C333" t="s">
        <v>245</v>
      </c>
      <c r="D333" t="s">
        <v>5</v>
      </c>
      <c r="E333" t="s">
        <v>245</v>
      </c>
      <c r="F333" t="s">
        <v>245</v>
      </c>
      <c r="G333" t="s">
        <v>0</v>
      </c>
      <c r="H333" s="6" t="s">
        <v>130</v>
      </c>
      <c r="I333" s="14">
        <v>2017</v>
      </c>
      <c r="J333" t="s">
        <v>135</v>
      </c>
      <c r="K333" t="s">
        <v>202</v>
      </c>
      <c r="L333" t="s">
        <v>136</v>
      </c>
    </row>
    <row r="334" spans="1:12" x14ac:dyDescent="0.25">
      <c r="A334" t="s">
        <v>5</v>
      </c>
      <c r="B334" s="14" t="s">
        <v>38</v>
      </c>
      <c r="C334" t="s">
        <v>394</v>
      </c>
      <c r="D334" t="s">
        <v>5</v>
      </c>
      <c r="E334" t="s">
        <v>394</v>
      </c>
      <c r="F334" t="s">
        <v>394</v>
      </c>
      <c r="G334" t="s">
        <v>0</v>
      </c>
      <c r="H334" s="6" t="s">
        <v>130</v>
      </c>
      <c r="I334" s="14">
        <v>2017</v>
      </c>
      <c r="J334" t="s">
        <v>135</v>
      </c>
      <c r="K334" t="s">
        <v>202</v>
      </c>
      <c r="L334" t="s">
        <v>136</v>
      </c>
    </row>
    <row r="335" spans="1:12" x14ac:dyDescent="0.25">
      <c r="A335" t="s">
        <v>5</v>
      </c>
      <c r="B335" s="14" t="s">
        <v>38</v>
      </c>
      <c r="C335" t="s">
        <v>178</v>
      </c>
      <c r="D335" t="s">
        <v>5</v>
      </c>
      <c r="E335" t="s">
        <v>178</v>
      </c>
      <c r="F335" t="s">
        <v>178</v>
      </c>
      <c r="G335" t="s">
        <v>0</v>
      </c>
      <c r="H335" s="6" t="s">
        <v>130</v>
      </c>
      <c r="I335" s="14">
        <v>2017</v>
      </c>
      <c r="J335" t="s">
        <v>135</v>
      </c>
      <c r="K335" t="s">
        <v>202</v>
      </c>
      <c r="L335" t="s">
        <v>136</v>
      </c>
    </row>
    <row r="336" spans="1:12" x14ac:dyDescent="0.25">
      <c r="A336" t="s">
        <v>59</v>
      </c>
      <c r="B336" s="14" t="s">
        <v>59</v>
      </c>
      <c r="C336" t="s">
        <v>199</v>
      </c>
      <c r="D336" t="s">
        <v>59</v>
      </c>
      <c r="E336" t="s">
        <v>199</v>
      </c>
      <c r="F336" t="s">
        <v>199</v>
      </c>
      <c r="G336" t="s">
        <v>0</v>
      </c>
      <c r="H336" s="6" t="s">
        <v>130</v>
      </c>
      <c r="I336" s="14">
        <v>2017</v>
      </c>
      <c r="J336" t="s">
        <v>135</v>
      </c>
      <c r="K336" t="s">
        <v>202</v>
      </c>
      <c r="L336" t="s">
        <v>136</v>
      </c>
    </row>
    <row r="337" spans="1:12" x14ac:dyDescent="0.25">
      <c r="A337" t="s">
        <v>5</v>
      </c>
      <c r="B337" s="14" t="s">
        <v>5</v>
      </c>
      <c r="C337" t="s">
        <v>395</v>
      </c>
      <c r="D337" t="s">
        <v>5</v>
      </c>
      <c r="E337" t="s">
        <v>395</v>
      </c>
      <c r="F337" t="s">
        <v>395</v>
      </c>
      <c r="G337" t="s">
        <v>1</v>
      </c>
      <c r="H337" s="6" t="s">
        <v>130</v>
      </c>
      <c r="I337" s="14">
        <v>2017</v>
      </c>
      <c r="J337" t="s">
        <v>135</v>
      </c>
      <c r="K337" t="s">
        <v>202</v>
      </c>
      <c r="L337" t="s">
        <v>136</v>
      </c>
    </row>
    <row r="338" spans="1:12" x14ac:dyDescent="0.25">
      <c r="A338" t="s">
        <v>5</v>
      </c>
      <c r="B338" s="14" t="s">
        <v>5</v>
      </c>
      <c r="C338" t="s">
        <v>396</v>
      </c>
      <c r="D338" t="s">
        <v>5</v>
      </c>
      <c r="E338" t="s">
        <v>396</v>
      </c>
      <c r="F338" t="s">
        <v>396</v>
      </c>
      <c r="G338" t="s">
        <v>1</v>
      </c>
      <c r="H338" s="6" t="s">
        <v>130</v>
      </c>
      <c r="I338" s="14">
        <v>2017</v>
      </c>
      <c r="J338" t="s">
        <v>135</v>
      </c>
      <c r="K338" t="s">
        <v>202</v>
      </c>
      <c r="L338" t="s">
        <v>136</v>
      </c>
    </row>
    <row r="339" spans="1:12" x14ac:dyDescent="0.25">
      <c r="A339" t="s">
        <v>5</v>
      </c>
      <c r="B339" s="14" t="s">
        <v>5</v>
      </c>
      <c r="C339" t="s">
        <v>397</v>
      </c>
      <c r="D339" t="s">
        <v>5</v>
      </c>
      <c r="E339" t="s">
        <v>397</v>
      </c>
      <c r="F339" t="s">
        <v>397</v>
      </c>
      <c r="G339" t="s">
        <v>1</v>
      </c>
      <c r="H339" s="6" t="s">
        <v>130</v>
      </c>
      <c r="I339" s="14">
        <v>2017</v>
      </c>
      <c r="J339" t="s">
        <v>135</v>
      </c>
      <c r="K339" t="s">
        <v>202</v>
      </c>
      <c r="L339" t="s">
        <v>136</v>
      </c>
    </row>
    <row r="340" spans="1:12" x14ac:dyDescent="0.25">
      <c r="A340" t="s">
        <v>5</v>
      </c>
      <c r="B340" s="14" t="s">
        <v>5</v>
      </c>
      <c r="C340" t="s">
        <v>217</v>
      </c>
      <c r="D340" t="s">
        <v>5</v>
      </c>
      <c r="E340" t="s">
        <v>217</v>
      </c>
      <c r="F340" t="s">
        <v>217</v>
      </c>
      <c r="G340" t="s">
        <v>1</v>
      </c>
      <c r="H340" s="6" t="s">
        <v>130</v>
      </c>
      <c r="I340" s="14">
        <v>2017</v>
      </c>
      <c r="J340" t="s">
        <v>135</v>
      </c>
      <c r="K340" t="s">
        <v>202</v>
      </c>
      <c r="L340" t="s">
        <v>136</v>
      </c>
    </row>
    <row r="341" spans="1:12" x14ac:dyDescent="0.25">
      <c r="A341" t="s">
        <v>5</v>
      </c>
      <c r="B341" s="14" t="s">
        <v>5</v>
      </c>
      <c r="C341" t="s">
        <v>398</v>
      </c>
      <c r="D341" t="s">
        <v>5</v>
      </c>
      <c r="E341" t="s">
        <v>398</v>
      </c>
      <c r="F341" t="s">
        <v>398</v>
      </c>
      <c r="G341" t="s">
        <v>1</v>
      </c>
      <c r="H341" s="6" t="s">
        <v>130</v>
      </c>
      <c r="I341" s="14">
        <v>2017</v>
      </c>
      <c r="J341" t="s">
        <v>135</v>
      </c>
      <c r="K341" t="s">
        <v>202</v>
      </c>
      <c r="L341" t="s">
        <v>136</v>
      </c>
    </row>
    <row r="342" spans="1:12" x14ac:dyDescent="0.25">
      <c r="A342" t="s">
        <v>5</v>
      </c>
      <c r="B342" s="14" t="s">
        <v>39</v>
      </c>
      <c r="C342" t="s">
        <v>399</v>
      </c>
      <c r="D342" t="s">
        <v>5</v>
      </c>
      <c r="E342" t="s">
        <v>399</v>
      </c>
      <c r="F342" t="s">
        <v>399</v>
      </c>
      <c r="G342" t="s">
        <v>1</v>
      </c>
      <c r="H342" s="6" t="s">
        <v>130</v>
      </c>
      <c r="I342" s="14">
        <v>2017</v>
      </c>
      <c r="J342" t="s">
        <v>135</v>
      </c>
      <c r="K342" t="s">
        <v>202</v>
      </c>
      <c r="L342" t="s">
        <v>136</v>
      </c>
    </row>
    <row r="343" spans="1:12" x14ac:dyDescent="0.25">
      <c r="A343" t="s">
        <v>5</v>
      </c>
      <c r="B343" s="14" t="s">
        <v>39</v>
      </c>
      <c r="C343" t="s">
        <v>400</v>
      </c>
      <c r="D343" t="s">
        <v>5</v>
      </c>
      <c r="E343" t="s">
        <v>400</v>
      </c>
      <c r="F343" t="s">
        <v>400</v>
      </c>
      <c r="G343" t="s">
        <v>1</v>
      </c>
      <c r="H343" s="6" t="s">
        <v>130</v>
      </c>
      <c r="I343" s="14">
        <v>2017</v>
      </c>
      <c r="J343" t="s">
        <v>135</v>
      </c>
      <c r="K343" t="s">
        <v>202</v>
      </c>
      <c r="L343" t="s">
        <v>136</v>
      </c>
    </row>
    <row r="344" spans="1:12" x14ac:dyDescent="0.25">
      <c r="A344" t="s">
        <v>61</v>
      </c>
      <c r="B344" s="14" t="s">
        <v>61</v>
      </c>
      <c r="C344" t="s">
        <v>401</v>
      </c>
      <c r="D344" t="s">
        <v>61</v>
      </c>
      <c r="E344" t="s">
        <v>401</v>
      </c>
      <c r="F344" t="s">
        <v>401</v>
      </c>
      <c r="G344" t="s">
        <v>1</v>
      </c>
      <c r="H344" s="6" t="s">
        <v>130</v>
      </c>
      <c r="I344" s="14">
        <v>2017</v>
      </c>
      <c r="J344" t="s">
        <v>135</v>
      </c>
      <c r="K344" t="s">
        <v>202</v>
      </c>
      <c r="L344" t="s">
        <v>136</v>
      </c>
    </row>
    <row r="345" spans="1:12" x14ac:dyDescent="0.25">
      <c r="A345" t="s">
        <v>61</v>
      </c>
      <c r="B345" s="14" t="s">
        <v>61</v>
      </c>
      <c r="C345" t="s">
        <v>402</v>
      </c>
      <c r="D345" t="s">
        <v>61</v>
      </c>
      <c r="E345" t="s">
        <v>402</v>
      </c>
      <c r="F345" t="s">
        <v>402</v>
      </c>
      <c r="G345" t="s">
        <v>1</v>
      </c>
      <c r="H345" s="6" t="s">
        <v>130</v>
      </c>
      <c r="I345" s="14">
        <v>2017</v>
      </c>
      <c r="J345" t="s">
        <v>135</v>
      </c>
      <c r="K345" t="s">
        <v>202</v>
      </c>
      <c r="L345" t="s">
        <v>136</v>
      </c>
    </row>
    <row r="346" spans="1:12" x14ac:dyDescent="0.25">
      <c r="A346" t="s">
        <v>57</v>
      </c>
      <c r="B346" s="14" t="s">
        <v>57</v>
      </c>
      <c r="C346" t="s">
        <v>403</v>
      </c>
      <c r="D346" t="s">
        <v>57</v>
      </c>
      <c r="E346" t="s">
        <v>403</v>
      </c>
      <c r="F346" t="s">
        <v>403</v>
      </c>
      <c r="G346" t="s">
        <v>1</v>
      </c>
      <c r="H346" s="6" t="s">
        <v>130</v>
      </c>
      <c r="I346" s="14">
        <v>2017</v>
      </c>
      <c r="J346" t="s">
        <v>135</v>
      </c>
      <c r="K346" t="s">
        <v>202</v>
      </c>
      <c r="L346" t="s">
        <v>136</v>
      </c>
    </row>
    <row r="347" spans="1:12" x14ac:dyDescent="0.25">
      <c r="A347" t="s">
        <v>61</v>
      </c>
      <c r="B347" s="14" t="s">
        <v>63</v>
      </c>
      <c r="C347" t="s">
        <v>404</v>
      </c>
      <c r="D347" t="s">
        <v>61</v>
      </c>
      <c r="E347" t="s">
        <v>404</v>
      </c>
      <c r="F347" t="s">
        <v>404</v>
      </c>
      <c r="G347" t="s">
        <v>1</v>
      </c>
      <c r="H347" s="6" t="s">
        <v>130</v>
      </c>
      <c r="I347" s="14">
        <v>2017</v>
      </c>
      <c r="J347" t="s">
        <v>135</v>
      </c>
      <c r="K347" t="s">
        <v>202</v>
      </c>
      <c r="L347" t="s">
        <v>136</v>
      </c>
    </row>
    <row r="348" spans="1:12" x14ac:dyDescent="0.25">
      <c r="A348" t="s">
        <v>61</v>
      </c>
      <c r="B348" s="14" t="s">
        <v>62</v>
      </c>
      <c r="C348" t="s">
        <v>405</v>
      </c>
      <c r="D348" t="s">
        <v>61</v>
      </c>
      <c r="E348" t="s">
        <v>405</v>
      </c>
      <c r="F348" t="s">
        <v>405</v>
      </c>
      <c r="G348" t="s">
        <v>1</v>
      </c>
      <c r="H348" s="6" t="s">
        <v>130</v>
      </c>
      <c r="I348" s="14">
        <v>2017</v>
      </c>
      <c r="J348" t="s">
        <v>135</v>
      </c>
      <c r="K348" t="s">
        <v>202</v>
      </c>
      <c r="L348" t="s">
        <v>136</v>
      </c>
    </row>
    <row r="349" spans="1:12" x14ac:dyDescent="0.25">
      <c r="A349" t="s">
        <v>5</v>
      </c>
      <c r="B349" s="14" t="s">
        <v>19</v>
      </c>
      <c r="C349" t="s">
        <v>406</v>
      </c>
      <c r="D349" t="s">
        <v>5</v>
      </c>
      <c r="E349" t="s">
        <v>406</v>
      </c>
      <c r="F349" t="s">
        <v>406</v>
      </c>
      <c r="G349" t="s">
        <v>1</v>
      </c>
      <c r="H349" s="6" t="s">
        <v>130</v>
      </c>
      <c r="I349" s="14">
        <v>2017</v>
      </c>
      <c r="J349" t="s">
        <v>135</v>
      </c>
      <c r="K349" t="s">
        <v>202</v>
      </c>
      <c r="L349" t="s">
        <v>136</v>
      </c>
    </row>
    <row r="350" spans="1:12" x14ac:dyDescent="0.25">
      <c r="A350" t="s">
        <v>5</v>
      </c>
      <c r="B350" s="14" t="s">
        <v>36</v>
      </c>
      <c r="C350" t="s">
        <v>407</v>
      </c>
      <c r="D350" t="s">
        <v>5</v>
      </c>
      <c r="E350" t="s">
        <v>408</v>
      </c>
      <c r="F350" s="39" t="s">
        <v>407</v>
      </c>
      <c r="G350" t="s">
        <v>1</v>
      </c>
      <c r="H350" s="6" t="s">
        <v>130</v>
      </c>
      <c r="I350" s="14">
        <v>2017</v>
      </c>
      <c r="J350" t="s">
        <v>135</v>
      </c>
      <c r="K350" t="s">
        <v>202</v>
      </c>
      <c r="L350" t="s">
        <v>136</v>
      </c>
    </row>
    <row r="351" spans="1:12" x14ac:dyDescent="0.25">
      <c r="A351" t="s">
        <v>5</v>
      </c>
      <c r="B351" s="14" t="s">
        <v>36</v>
      </c>
      <c r="C351" t="s">
        <v>409</v>
      </c>
      <c r="D351" t="s">
        <v>5</v>
      </c>
      <c r="E351" t="s">
        <v>409</v>
      </c>
      <c r="F351" t="s">
        <v>409</v>
      </c>
      <c r="G351" t="s">
        <v>1</v>
      </c>
      <c r="H351" s="6" t="s">
        <v>130</v>
      </c>
      <c r="I351" s="14">
        <v>2017</v>
      </c>
      <c r="J351" t="s">
        <v>135</v>
      </c>
      <c r="K351" t="s">
        <v>202</v>
      </c>
      <c r="L351" t="s">
        <v>136</v>
      </c>
    </row>
    <row r="352" spans="1:12" x14ac:dyDescent="0.25">
      <c r="A352" t="s">
        <v>5</v>
      </c>
      <c r="B352" s="14" t="s">
        <v>36</v>
      </c>
      <c r="C352" t="s">
        <v>410</v>
      </c>
      <c r="D352" t="s">
        <v>5</v>
      </c>
      <c r="E352" t="s">
        <v>411</v>
      </c>
      <c r="F352" t="s">
        <v>410</v>
      </c>
      <c r="G352" t="s">
        <v>1</v>
      </c>
      <c r="H352" s="6" t="s">
        <v>130</v>
      </c>
      <c r="I352" s="14">
        <v>2017</v>
      </c>
      <c r="J352" t="s">
        <v>135</v>
      </c>
      <c r="K352" t="s">
        <v>202</v>
      </c>
      <c r="L352" t="s">
        <v>136</v>
      </c>
    </row>
    <row r="353" spans="1:12" x14ac:dyDescent="0.25">
      <c r="A353" t="s">
        <v>5</v>
      </c>
      <c r="B353" s="14" t="s">
        <v>7</v>
      </c>
      <c r="C353" t="s">
        <v>412</v>
      </c>
      <c r="D353" t="s">
        <v>5</v>
      </c>
      <c r="E353" t="s">
        <v>412</v>
      </c>
      <c r="F353" t="s">
        <v>412</v>
      </c>
      <c r="G353" t="s">
        <v>1</v>
      </c>
      <c r="H353" s="6" t="s">
        <v>130</v>
      </c>
      <c r="I353" s="14">
        <v>2017</v>
      </c>
      <c r="J353" t="s">
        <v>135</v>
      </c>
      <c r="K353" t="s">
        <v>202</v>
      </c>
      <c r="L353" t="s">
        <v>136</v>
      </c>
    </row>
    <row r="354" spans="1:12" x14ac:dyDescent="0.25">
      <c r="A354" t="s">
        <v>5</v>
      </c>
      <c r="B354" s="14" t="s">
        <v>36</v>
      </c>
      <c r="C354" t="s">
        <v>413</v>
      </c>
      <c r="D354" t="s">
        <v>5</v>
      </c>
      <c r="E354" t="s">
        <v>413</v>
      </c>
      <c r="F354" t="s">
        <v>413</v>
      </c>
      <c r="G354" t="s">
        <v>1</v>
      </c>
      <c r="H354" s="6" t="s">
        <v>130</v>
      </c>
      <c r="I354" s="14">
        <v>2017</v>
      </c>
      <c r="J354" t="s">
        <v>135</v>
      </c>
      <c r="K354" t="s">
        <v>202</v>
      </c>
      <c r="L354" t="s">
        <v>136</v>
      </c>
    </row>
    <row r="355" spans="1:12" x14ac:dyDescent="0.25">
      <c r="A355" t="s">
        <v>5</v>
      </c>
      <c r="B355" s="14" t="s">
        <v>36</v>
      </c>
      <c r="C355" t="s">
        <v>189</v>
      </c>
      <c r="D355" t="s">
        <v>5</v>
      </c>
      <c r="E355" t="s">
        <v>189</v>
      </c>
      <c r="F355" t="s">
        <v>189</v>
      </c>
      <c r="G355" t="s">
        <v>1</v>
      </c>
      <c r="H355" s="6" t="s">
        <v>130</v>
      </c>
      <c r="I355" s="14">
        <v>2017</v>
      </c>
      <c r="J355" t="s">
        <v>135</v>
      </c>
      <c r="K355" t="s">
        <v>202</v>
      </c>
      <c r="L355" t="s">
        <v>136</v>
      </c>
    </row>
    <row r="356" spans="1:12" x14ac:dyDescent="0.25">
      <c r="A356" t="s">
        <v>5</v>
      </c>
      <c r="B356" s="14" t="s">
        <v>36</v>
      </c>
      <c r="C356" t="s">
        <v>414</v>
      </c>
      <c r="D356" t="s">
        <v>5</v>
      </c>
      <c r="E356" t="s">
        <v>414</v>
      </c>
      <c r="F356" t="s">
        <v>414</v>
      </c>
      <c r="G356" t="s">
        <v>1</v>
      </c>
      <c r="H356" s="6" t="s">
        <v>130</v>
      </c>
      <c r="I356" s="14">
        <v>2017</v>
      </c>
      <c r="J356" t="s">
        <v>135</v>
      </c>
      <c r="K356" t="s">
        <v>202</v>
      </c>
      <c r="L356" t="s">
        <v>136</v>
      </c>
    </row>
    <row r="357" spans="1:12" x14ac:dyDescent="0.25">
      <c r="A357" t="s">
        <v>5</v>
      </c>
      <c r="B357" s="14" t="s">
        <v>36</v>
      </c>
      <c r="C357" t="s">
        <v>415</v>
      </c>
      <c r="D357" t="s">
        <v>5</v>
      </c>
      <c r="E357" t="s">
        <v>415</v>
      </c>
      <c r="F357" t="s">
        <v>415</v>
      </c>
      <c r="G357" t="s">
        <v>1</v>
      </c>
      <c r="H357" s="6" t="s">
        <v>130</v>
      </c>
      <c r="I357" s="14">
        <v>2017</v>
      </c>
      <c r="J357" t="s">
        <v>135</v>
      </c>
      <c r="K357" t="s">
        <v>202</v>
      </c>
      <c r="L357" t="s">
        <v>136</v>
      </c>
    </row>
    <row r="358" spans="1:12" x14ac:dyDescent="0.25">
      <c r="A358" t="s">
        <v>5</v>
      </c>
      <c r="B358" s="14" t="s">
        <v>36</v>
      </c>
      <c r="C358" t="s">
        <v>416</v>
      </c>
      <c r="D358" t="s">
        <v>5</v>
      </c>
      <c r="E358" t="s">
        <v>417</v>
      </c>
      <c r="F358" t="s">
        <v>416</v>
      </c>
      <c r="G358" t="s">
        <v>1</v>
      </c>
      <c r="H358" s="6" t="s">
        <v>130</v>
      </c>
      <c r="I358" s="14">
        <v>2017</v>
      </c>
      <c r="J358" t="s">
        <v>135</v>
      </c>
      <c r="K358" t="s">
        <v>202</v>
      </c>
      <c r="L358" t="s">
        <v>136</v>
      </c>
    </row>
    <row r="359" spans="1:12" x14ac:dyDescent="0.25">
      <c r="A359" t="s">
        <v>5</v>
      </c>
      <c r="B359" s="14" t="s">
        <v>36</v>
      </c>
      <c r="C359" t="s">
        <v>418</v>
      </c>
      <c r="D359" t="s">
        <v>5</v>
      </c>
      <c r="E359" t="s">
        <v>418</v>
      </c>
      <c r="F359" t="s">
        <v>418</v>
      </c>
      <c r="G359" t="s">
        <v>1</v>
      </c>
      <c r="H359" s="6" t="s">
        <v>130</v>
      </c>
      <c r="I359" s="14">
        <v>2017</v>
      </c>
      <c r="J359" t="s">
        <v>135</v>
      </c>
      <c r="K359" t="s">
        <v>202</v>
      </c>
      <c r="L359" t="s">
        <v>136</v>
      </c>
    </row>
    <row r="360" spans="1:12" x14ac:dyDescent="0.25">
      <c r="A360" t="s">
        <v>5</v>
      </c>
      <c r="B360" s="14" t="s">
        <v>7</v>
      </c>
      <c r="C360" t="s">
        <v>419</v>
      </c>
      <c r="D360" t="s">
        <v>5</v>
      </c>
      <c r="E360" t="s">
        <v>419</v>
      </c>
      <c r="F360" t="s">
        <v>419</v>
      </c>
      <c r="G360" t="s">
        <v>1</v>
      </c>
      <c r="H360" s="6" t="s">
        <v>130</v>
      </c>
      <c r="I360" s="14">
        <v>2017</v>
      </c>
      <c r="J360" t="s">
        <v>135</v>
      </c>
      <c r="K360" t="s">
        <v>202</v>
      </c>
      <c r="L360" t="s">
        <v>136</v>
      </c>
    </row>
    <row r="361" spans="1:12" x14ac:dyDescent="0.25">
      <c r="A361" t="s">
        <v>5</v>
      </c>
      <c r="B361" s="14" t="s">
        <v>43</v>
      </c>
      <c r="C361" t="s">
        <v>420</v>
      </c>
      <c r="D361" t="s">
        <v>5</v>
      </c>
      <c r="E361" t="s">
        <v>420</v>
      </c>
      <c r="F361" s="39" t="s">
        <v>420</v>
      </c>
      <c r="G361" t="s">
        <v>1</v>
      </c>
      <c r="H361" s="6" t="s">
        <v>130</v>
      </c>
      <c r="I361" s="14">
        <v>2017</v>
      </c>
      <c r="J361" t="s">
        <v>135</v>
      </c>
      <c r="K361" t="s">
        <v>202</v>
      </c>
      <c r="L361" t="s">
        <v>136</v>
      </c>
    </row>
    <row r="362" spans="1:12" x14ac:dyDescent="0.25">
      <c r="A362" t="s">
        <v>5</v>
      </c>
      <c r="B362" s="14" t="s">
        <v>7</v>
      </c>
      <c r="C362" t="s">
        <v>421</v>
      </c>
      <c r="D362" t="s">
        <v>5</v>
      </c>
      <c r="E362" t="s">
        <v>421</v>
      </c>
      <c r="F362" t="s">
        <v>421</v>
      </c>
      <c r="G362" t="s">
        <v>1</v>
      </c>
      <c r="H362" s="6" t="s">
        <v>130</v>
      </c>
      <c r="I362" s="14">
        <v>2017</v>
      </c>
      <c r="J362" t="s">
        <v>135</v>
      </c>
      <c r="K362" t="s">
        <v>202</v>
      </c>
      <c r="L362" t="s">
        <v>136</v>
      </c>
    </row>
    <row r="363" spans="1:12" x14ac:dyDescent="0.25">
      <c r="A363" t="s">
        <v>5</v>
      </c>
      <c r="B363" s="14" t="s">
        <v>7</v>
      </c>
      <c r="C363" t="s">
        <v>422</v>
      </c>
      <c r="D363" t="s">
        <v>5</v>
      </c>
      <c r="E363" t="s">
        <v>422</v>
      </c>
      <c r="F363" t="s">
        <v>422</v>
      </c>
      <c r="G363" t="s">
        <v>1</v>
      </c>
      <c r="H363" s="6" t="s">
        <v>130</v>
      </c>
      <c r="I363" s="14">
        <v>2017</v>
      </c>
      <c r="J363" t="s">
        <v>135</v>
      </c>
      <c r="K363" t="s">
        <v>202</v>
      </c>
      <c r="L363" t="s">
        <v>136</v>
      </c>
    </row>
    <row r="364" spans="1:12" x14ac:dyDescent="0.25">
      <c r="A364" t="s">
        <v>5</v>
      </c>
      <c r="B364" s="14" t="s">
        <v>7</v>
      </c>
      <c r="C364" t="s">
        <v>223</v>
      </c>
      <c r="D364" t="s">
        <v>5</v>
      </c>
      <c r="E364" t="s">
        <v>223</v>
      </c>
      <c r="F364" t="s">
        <v>223</v>
      </c>
      <c r="G364" t="s">
        <v>1</v>
      </c>
      <c r="H364" s="6" t="s">
        <v>130</v>
      </c>
      <c r="I364" s="14">
        <v>2017</v>
      </c>
      <c r="J364" t="s">
        <v>135</v>
      </c>
      <c r="K364" t="s">
        <v>202</v>
      </c>
      <c r="L364" t="s">
        <v>136</v>
      </c>
    </row>
    <row r="365" spans="1:12" x14ac:dyDescent="0.25">
      <c r="A365" t="s">
        <v>5</v>
      </c>
      <c r="B365" s="14" t="s">
        <v>11</v>
      </c>
      <c r="C365" t="s">
        <v>423</v>
      </c>
      <c r="D365" t="s">
        <v>5</v>
      </c>
      <c r="E365" t="s">
        <v>423</v>
      </c>
      <c r="F365" t="s">
        <v>423</v>
      </c>
      <c r="G365" t="s">
        <v>1</v>
      </c>
      <c r="H365" s="6" t="s">
        <v>130</v>
      </c>
      <c r="I365" s="14">
        <v>2017</v>
      </c>
      <c r="J365" t="s">
        <v>135</v>
      </c>
      <c r="K365" t="s">
        <v>202</v>
      </c>
      <c r="L365" t="s">
        <v>136</v>
      </c>
    </row>
    <row r="366" spans="1:12" x14ac:dyDescent="0.25">
      <c r="A366" t="s">
        <v>5</v>
      </c>
      <c r="B366" s="14" t="s">
        <v>7</v>
      </c>
      <c r="C366" t="s">
        <v>225</v>
      </c>
      <c r="D366" t="s">
        <v>5</v>
      </c>
      <c r="E366" t="s">
        <v>225</v>
      </c>
      <c r="F366" t="s">
        <v>225</v>
      </c>
      <c r="G366" t="s">
        <v>1</v>
      </c>
      <c r="H366" s="6" t="s">
        <v>130</v>
      </c>
      <c r="I366" s="14">
        <v>2017</v>
      </c>
      <c r="J366" t="s">
        <v>135</v>
      </c>
      <c r="K366" t="s">
        <v>202</v>
      </c>
      <c r="L366" t="s">
        <v>136</v>
      </c>
    </row>
    <row r="367" spans="1:12" x14ac:dyDescent="0.25">
      <c r="A367" t="s">
        <v>5</v>
      </c>
      <c r="B367" s="14" t="s">
        <v>7</v>
      </c>
      <c r="C367" t="s">
        <v>212</v>
      </c>
      <c r="D367" t="s">
        <v>5</v>
      </c>
      <c r="E367" t="s">
        <v>212</v>
      </c>
      <c r="F367" t="s">
        <v>212</v>
      </c>
      <c r="G367" t="s">
        <v>1</v>
      </c>
      <c r="H367" s="6" t="s">
        <v>130</v>
      </c>
      <c r="I367" s="14">
        <v>2017</v>
      </c>
      <c r="J367" t="s">
        <v>135</v>
      </c>
      <c r="K367" t="s">
        <v>202</v>
      </c>
      <c r="L367" t="s">
        <v>136</v>
      </c>
    </row>
    <row r="368" spans="1:12" x14ac:dyDescent="0.25">
      <c r="A368" t="s">
        <v>5</v>
      </c>
      <c r="B368" s="14" t="s">
        <v>7</v>
      </c>
      <c r="C368" t="s">
        <v>226</v>
      </c>
      <c r="D368" t="s">
        <v>5</v>
      </c>
      <c r="E368" t="s">
        <v>226</v>
      </c>
      <c r="F368" t="s">
        <v>226</v>
      </c>
      <c r="G368" t="s">
        <v>1</v>
      </c>
      <c r="H368" s="6" t="s">
        <v>130</v>
      </c>
      <c r="I368" s="14">
        <v>2017</v>
      </c>
      <c r="J368" t="s">
        <v>135</v>
      </c>
      <c r="K368" t="s">
        <v>202</v>
      </c>
      <c r="L368" t="s">
        <v>136</v>
      </c>
    </row>
    <row r="369" spans="1:12" x14ac:dyDescent="0.25">
      <c r="A369" t="s">
        <v>5</v>
      </c>
      <c r="B369" s="14" t="s">
        <v>7</v>
      </c>
      <c r="C369" t="s">
        <v>221</v>
      </c>
      <c r="D369" t="s">
        <v>5</v>
      </c>
      <c r="E369" t="s">
        <v>221</v>
      </c>
      <c r="F369" t="s">
        <v>221</v>
      </c>
      <c r="G369" t="s">
        <v>1</v>
      </c>
      <c r="H369" s="6" t="s">
        <v>130</v>
      </c>
      <c r="I369" s="14">
        <v>2017</v>
      </c>
      <c r="J369" t="s">
        <v>135</v>
      </c>
      <c r="K369" t="s">
        <v>202</v>
      </c>
      <c r="L369" t="s">
        <v>136</v>
      </c>
    </row>
    <row r="370" spans="1:12" x14ac:dyDescent="0.25">
      <c r="A370" t="s">
        <v>5</v>
      </c>
      <c r="B370" s="14" t="s">
        <v>7</v>
      </c>
      <c r="C370" t="s">
        <v>224</v>
      </c>
      <c r="D370" t="s">
        <v>5</v>
      </c>
      <c r="E370" t="s">
        <v>224</v>
      </c>
      <c r="F370" t="s">
        <v>224</v>
      </c>
      <c r="G370" t="s">
        <v>1</v>
      </c>
      <c r="H370" s="6" t="s">
        <v>130</v>
      </c>
      <c r="I370" s="14">
        <v>2017</v>
      </c>
      <c r="J370" t="s">
        <v>135</v>
      </c>
      <c r="K370" t="s">
        <v>202</v>
      </c>
      <c r="L370" t="s">
        <v>136</v>
      </c>
    </row>
    <row r="371" spans="1:12" x14ac:dyDescent="0.25">
      <c r="A371" t="s">
        <v>5</v>
      </c>
      <c r="B371" s="14" t="s">
        <v>11</v>
      </c>
      <c r="C371" t="s">
        <v>222</v>
      </c>
      <c r="D371" t="s">
        <v>5</v>
      </c>
      <c r="E371" t="s">
        <v>222</v>
      </c>
      <c r="F371" t="s">
        <v>222</v>
      </c>
      <c r="G371" t="s">
        <v>1</v>
      </c>
      <c r="H371" s="6" t="s">
        <v>130</v>
      </c>
      <c r="I371" s="14">
        <v>2017</v>
      </c>
      <c r="J371" t="s">
        <v>135</v>
      </c>
      <c r="K371" t="s">
        <v>202</v>
      </c>
      <c r="L371" t="s">
        <v>136</v>
      </c>
    </row>
    <row r="372" spans="1:12" x14ac:dyDescent="0.25">
      <c r="A372" t="s">
        <v>5</v>
      </c>
      <c r="B372" s="14" t="s">
        <v>9</v>
      </c>
      <c r="C372" t="s">
        <v>424</v>
      </c>
      <c r="D372" t="s">
        <v>5</v>
      </c>
      <c r="E372" t="s">
        <v>424</v>
      </c>
      <c r="F372" t="s">
        <v>424</v>
      </c>
      <c r="G372" t="s">
        <v>1</v>
      </c>
      <c r="H372" s="6" t="s">
        <v>130</v>
      </c>
      <c r="I372" s="14">
        <v>2017</v>
      </c>
      <c r="J372" t="s">
        <v>135</v>
      </c>
      <c r="K372" t="s">
        <v>202</v>
      </c>
      <c r="L372" t="s">
        <v>136</v>
      </c>
    </row>
    <row r="373" spans="1:12" x14ac:dyDescent="0.25">
      <c r="A373" t="s">
        <v>5</v>
      </c>
      <c r="B373" s="14" t="s">
        <v>9</v>
      </c>
      <c r="C373" t="s">
        <v>425</v>
      </c>
      <c r="D373" t="s">
        <v>5</v>
      </c>
      <c r="E373" t="s">
        <v>425</v>
      </c>
      <c r="F373" t="s">
        <v>425</v>
      </c>
      <c r="G373" t="s">
        <v>1</v>
      </c>
      <c r="H373" s="6" t="s">
        <v>130</v>
      </c>
      <c r="I373" s="14">
        <v>2017</v>
      </c>
      <c r="J373" t="s">
        <v>135</v>
      </c>
      <c r="K373" t="s">
        <v>202</v>
      </c>
      <c r="L373" t="s">
        <v>136</v>
      </c>
    </row>
    <row r="374" spans="1:12" x14ac:dyDescent="0.25">
      <c r="A374" t="s">
        <v>5</v>
      </c>
      <c r="B374" s="14" t="s">
        <v>9</v>
      </c>
      <c r="C374" t="s">
        <v>426</v>
      </c>
      <c r="D374" t="s">
        <v>5</v>
      </c>
      <c r="E374" t="s">
        <v>426</v>
      </c>
      <c r="F374" t="s">
        <v>426</v>
      </c>
      <c r="G374" t="s">
        <v>1</v>
      </c>
      <c r="H374" s="6" t="s">
        <v>130</v>
      </c>
      <c r="I374" s="14">
        <v>2017</v>
      </c>
      <c r="J374" t="s">
        <v>135</v>
      </c>
      <c r="K374" t="s">
        <v>202</v>
      </c>
      <c r="L374" t="s">
        <v>136</v>
      </c>
    </row>
    <row r="375" spans="1:12" x14ac:dyDescent="0.25">
      <c r="A375" t="s">
        <v>5</v>
      </c>
      <c r="B375" s="14" t="s">
        <v>37</v>
      </c>
      <c r="C375" t="s">
        <v>427</v>
      </c>
      <c r="D375" t="s">
        <v>5</v>
      </c>
      <c r="E375" t="s">
        <v>427</v>
      </c>
      <c r="F375" t="s">
        <v>427</v>
      </c>
      <c r="G375" t="s">
        <v>1</v>
      </c>
      <c r="H375" s="6" t="s">
        <v>130</v>
      </c>
      <c r="I375" s="14">
        <v>2017</v>
      </c>
      <c r="J375" t="s">
        <v>135</v>
      </c>
      <c r="K375" t="s">
        <v>202</v>
      </c>
      <c r="L375" t="s">
        <v>136</v>
      </c>
    </row>
    <row r="376" spans="1:12" x14ac:dyDescent="0.25">
      <c r="A376" t="s">
        <v>5</v>
      </c>
      <c r="B376" s="14" t="s">
        <v>8</v>
      </c>
      <c r="C376" t="s">
        <v>428</v>
      </c>
      <c r="D376" t="s">
        <v>5</v>
      </c>
      <c r="E376" t="s">
        <v>428</v>
      </c>
      <c r="F376" t="s">
        <v>428</v>
      </c>
      <c r="G376" t="s">
        <v>1</v>
      </c>
      <c r="H376" s="6" t="s">
        <v>130</v>
      </c>
      <c r="I376" s="14">
        <v>2017</v>
      </c>
      <c r="J376" t="s">
        <v>135</v>
      </c>
      <c r="K376" t="s">
        <v>202</v>
      </c>
      <c r="L376" t="s">
        <v>136</v>
      </c>
    </row>
    <row r="377" spans="1:12" x14ac:dyDescent="0.25">
      <c r="A377" t="s">
        <v>5</v>
      </c>
      <c r="B377" s="14" t="s">
        <v>48</v>
      </c>
      <c r="C377" t="s">
        <v>429</v>
      </c>
      <c r="D377" t="s">
        <v>5</v>
      </c>
      <c r="E377" t="s">
        <v>429</v>
      </c>
      <c r="F377" t="s">
        <v>429</v>
      </c>
      <c r="G377" t="s">
        <v>1</v>
      </c>
      <c r="H377" s="6" t="s">
        <v>130</v>
      </c>
      <c r="I377" s="14">
        <v>2017</v>
      </c>
      <c r="J377" t="s">
        <v>135</v>
      </c>
      <c r="K377" t="s">
        <v>202</v>
      </c>
      <c r="L377" t="s">
        <v>136</v>
      </c>
    </row>
    <row r="378" spans="1:12" x14ac:dyDescent="0.25">
      <c r="A378" t="s">
        <v>5</v>
      </c>
      <c r="B378" s="14" t="s">
        <v>33</v>
      </c>
      <c r="C378" t="s">
        <v>430</v>
      </c>
      <c r="D378" t="s">
        <v>5</v>
      </c>
      <c r="E378" t="s">
        <v>430</v>
      </c>
      <c r="F378" t="s">
        <v>430</v>
      </c>
      <c r="G378" t="s">
        <v>1</v>
      </c>
      <c r="H378" s="6" t="s">
        <v>130</v>
      </c>
      <c r="I378" s="14">
        <v>2017</v>
      </c>
      <c r="J378" t="s">
        <v>135</v>
      </c>
      <c r="K378" t="s">
        <v>202</v>
      </c>
      <c r="L378" t="s">
        <v>136</v>
      </c>
    </row>
    <row r="379" spans="1:12" x14ac:dyDescent="0.25">
      <c r="A379" t="s">
        <v>5</v>
      </c>
      <c r="B379" s="14" t="s">
        <v>33</v>
      </c>
      <c r="C379" t="s">
        <v>431</v>
      </c>
      <c r="D379" t="s">
        <v>5</v>
      </c>
      <c r="E379" t="s">
        <v>431</v>
      </c>
      <c r="F379" t="s">
        <v>431</v>
      </c>
      <c r="G379" t="s">
        <v>1</v>
      </c>
      <c r="H379" s="6" t="s">
        <v>130</v>
      </c>
      <c r="I379" s="14">
        <v>2017</v>
      </c>
      <c r="J379" t="s">
        <v>135</v>
      </c>
      <c r="K379" t="s">
        <v>202</v>
      </c>
      <c r="L379" t="s">
        <v>136</v>
      </c>
    </row>
    <row r="380" spans="1:12" x14ac:dyDescent="0.25">
      <c r="A380" t="s">
        <v>5</v>
      </c>
      <c r="B380" s="14" t="s">
        <v>13</v>
      </c>
      <c r="C380" t="s">
        <v>228</v>
      </c>
      <c r="D380" t="s">
        <v>5</v>
      </c>
      <c r="E380" t="s">
        <v>228</v>
      </c>
      <c r="F380" t="s">
        <v>228</v>
      </c>
      <c r="G380" t="s">
        <v>1</v>
      </c>
      <c r="H380" s="6" t="s">
        <v>130</v>
      </c>
      <c r="I380" s="14">
        <v>2017</v>
      </c>
      <c r="J380" t="s">
        <v>135</v>
      </c>
      <c r="K380" t="s">
        <v>202</v>
      </c>
      <c r="L380" t="s">
        <v>136</v>
      </c>
    </row>
    <row r="381" spans="1:12" x14ac:dyDescent="0.25">
      <c r="A381" t="s">
        <v>5</v>
      </c>
      <c r="B381" s="14" t="s">
        <v>41</v>
      </c>
      <c r="C381" t="s">
        <v>432</v>
      </c>
      <c r="D381" t="s">
        <v>5</v>
      </c>
      <c r="E381" t="s">
        <v>432</v>
      </c>
      <c r="F381" t="s">
        <v>432</v>
      </c>
      <c r="G381" t="s">
        <v>1</v>
      </c>
      <c r="H381" s="6" t="s">
        <v>130</v>
      </c>
      <c r="I381" s="14">
        <v>2017</v>
      </c>
      <c r="J381" t="s">
        <v>135</v>
      </c>
      <c r="K381" t="s">
        <v>202</v>
      </c>
      <c r="L381" t="s">
        <v>136</v>
      </c>
    </row>
    <row r="382" spans="1:12" x14ac:dyDescent="0.25">
      <c r="A382" t="s">
        <v>5</v>
      </c>
      <c r="B382" s="14" t="s">
        <v>16</v>
      </c>
      <c r="C382" t="s">
        <v>229</v>
      </c>
      <c r="D382" t="s">
        <v>5</v>
      </c>
      <c r="E382" t="s">
        <v>229</v>
      </c>
      <c r="F382" t="s">
        <v>229</v>
      </c>
      <c r="G382" t="s">
        <v>1</v>
      </c>
      <c r="H382" s="6" t="s">
        <v>130</v>
      </c>
      <c r="I382" s="14">
        <v>2017</v>
      </c>
      <c r="J382" t="s">
        <v>135</v>
      </c>
      <c r="K382" t="s">
        <v>202</v>
      </c>
      <c r="L382" t="s">
        <v>136</v>
      </c>
    </row>
    <row r="383" spans="1:12" x14ac:dyDescent="0.25">
      <c r="A383" t="s">
        <v>5</v>
      </c>
      <c r="B383" s="14" t="s">
        <v>16</v>
      </c>
      <c r="C383" t="s">
        <v>230</v>
      </c>
      <c r="D383" t="s">
        <v>5</v>
      </c>
      <c r="E383" t="s">
        <v>230</v>
      </c>
      <c r="F383" t="s">
        <v>230</v>
      </c>
      <c r="G383" t="s">
        <v>1</v>
      </c>
      <c r="H383" s="6" t="s">
        <v>130</v>
      </c>
      <c r="I383" s="14">
        <v>2017</v>
      </c>
      <c r="J383" t="s">
        <v>135</v>
      </c>
      <c r="K383" t="s">
        <v>202</v>
      </c>
      <c r="L383" t="s">
        <v>136</v>
      </c>
    </row>
    <row r="384" spans="1:12" x14ac:dyDescent="0.25">
      <c r="A384" t="s">
        <v>5</v>
      </c>
      <c r="B384" s="14" t="s">
        <v>21</v>
      </c>
      <c r="C384" t="s">
        <v>211</v>
      </c>
      <c r="D384" t="s">
        <v>5</v>
      </c>
      <c r="E384" t="s">
        <v>211</v>
      </c>
      <c r="F384" t="s">
        <v>211</v>
      </c>
      <c r="G384" t="s">
        <v>1</v>
      </c>
      <c r="H384" s="6" t="s">
        <v>130</v>
      </c>
      <c r="I384" s="14">
        <v>2017</v>
      </c>
      <c r="J384" t="s">
        <v>135</v>
      </c>
      <c r="K384" t="s">
        <v>202</v>
      </c>
      <c r="L384" t="s">
        <v>136</v>
      </c>
    </row>
    <row r="385" spans="1:12" x14ac:dyDescent="0.25">
      <c r="A385" t="s">
        <v>5</v>
      </c>
      <c r="B385" s="14" t="s">
        <v>50</v>
      </c>
      <c r="C385" t="s">
        <v>433</v>
      </c>
      <c r="D385" t="s">
        <v>5</v>
      </c>
      <c r="E385" t="s">
        <v>433</v>
      </c>
      <c r="F385" t="s">
        <v>433</v>
      </c>
      <c r="G385" t="s">
        <v>1</v>
      </c>
      <c r="H385" s="6" t="s">
        <v>130</v>
      </c>
      <c r="I385" s="14">
        <v>2017</v>
      </c>
      <c r="J385" t="s">
        <v>135</v>
      </c>
      <c r="K385" t="s">
        <v>202</v>
      </c>
      <c r="L385" t="s">
        <v>136</v>
      </c>
    </row>
    <row r="386" spans="1:12" x14ac:dyDescent="0.25">
      <c r="A386" t="s">
        <v>5</v>
      </c>
      <c r="B386" s="14" t="s">
        <v>50</v>
      </c>
      <c r="C386" t="s">
        <v>434</v>
      </c>
      <c r="D386" t="s">
        <v>5</v>
      </c>
      <c r="E386" t="s">
        <v>434</v>
      </c>
      <c r="F386" t="s">
        <v>434</v>
      </c>
      <c r="G386" t="s">
        <v>1</v>
      </c>
      <c r="H386" s="6" t="s">
        <v>130</v>
      </c>
      <c r="I386" s="14">
        <v>2017</v>
      </c>
      <c r="J386" t="s">
        <v>135</v>
      </c>
      <c r="K386" t="s">
        <v>202</v>
      </c>
      <c r="L386" t="s">
        <v>136</v>
      </c>
    </row>
    <row r="387" spans="1:12" x14ac:dyDescent="0.25">
      <c r="A387" t="s">
        <v>5</v>
      </c>
      <c r="B387" s="14" t="s">
        <v>50</v>
      </c>
      <c r="C387" t="s">
        <v>232</v>
      </c>
      <c r="D387" t="s">
        <v>5</v>
      </c>
      <c r="E387" t="s">
        <v>232</v>
      </c>
      <c r="F387" t="s">
        <v>232</v>
      </c>
      <c r="G387" t="s">
        <v>1</v>
      </c>
      <c r="H387" s="6" t="s">
        <v>130</v>
      </c>
      <c r="I387" s="14">
        <v>2017</v>
      </c>
      <c r="J387" t="s">
        <v>135</v>
      </c>
      <c r="K387" t="s">
        <v>202</v>
      </c>
      <c r="L387" t="s">
        <v>136</v>
      </c>
    </row>
    <row r="388" spans="1:12" x14ac:dyDescent="0.25">
      <c r="A388" t="s">
        <v>5</v>
      </c>
      <c r="B388" s="14" t="s">
        <v>50</v>
      </c>
      <c r="C388" t="s">
        <v>435</v>
      </c>
      <c r="D388" t="s">
        <v>5</v>
      </c>
      <c r="E388" t="s">
        <v>435</v>
      </c>
      <c r="F388" t="s">
        <v>435</v>
      </c>
      <c r="G388" t="s">
        <v>1</v>
      </c>
      <c r="H388" s="6" t="s">
        <v>130</v>
      </c>
      <c r="I388" s="14">
        <v>2017</v>
      </c>
      <c r="J388" t="s">
        <v>135</v>
      </c>
      <c r="K388" t="s">
        <v>202</v>
      </c>
      <c r="L388" t="s">
        <v>136</v>
      </c>
    </row>
    <row r="389" spans="1:12" x14ac:dyDescent="0.25">
      <c r="A389" t="s">
        <v>5</v>
      </c>
      <c r="B389" s="14" t="s">
        <v>50</v>
      </c>
      <c r="C389" t="s">
        <v>436</v>
      </c>
      <c r="D389" t="s">
        <v>5</v>
      </c>
      <c r="E389" t="s">
        <v>436</v>
      </c>
      <c r="F389" t="s">
        <v>436</v>
      </c>
      <c r="G389" t="s">
        <v>1</v>
      </c>
      <c r="H389" s="6" t="s">
        <v>130</v>
      </c>
      <c r="I389" s="14">
        <v>2017</v>
      </c>
      <c r="J389" t="s">
        <v>135</v>
      </c>
      <c r="K389" t="s">
        <v>202</v>
      </c>
      <c r="L389" t="s">
        <v>136</v>
      </c>
    </row>
    <row r="390" spans="1:12" x14ac:dyDescent="0.25">
      <c r="A390" t="s">
        <v>5</v>
      </c>
      <c r="B390" s="14" t="s">
        <v>50</v>
      </c>
      <c r="C390" t="s">
        <v>437</v>
      </c>
      <c r="D390" t="s">
        <v>5</v>
      </c>
      <c r="E390" t="s">
        <v>437</v>
      </c>
      <c r="F390" t="s">
        <v>437</v>
      </c>
      <c r="G390" t="s">
        <v>1</v>
      </c>
      <c r="H390" s="6" t="s">
        <v>130</v>
      </c>
      <c r="I390" s="14">
        <v>2017</v>
      </c>
      <c r="J390" t="s">
        <v>135</v>
      </c>
      <c r="K390" t="s">
        <v>202</v>
      </c>
      <c r="L390" t="s">
        <v>136</v>
      </c>
    </row>
    <row r="391" spans="1:12" x14ac:dyDescent="0.25">
      <c r="A391" t="s">
        <v>5</v>
      </c>
      <c r="B391" s="14" t="s">
        <v>50</v>
      </c>
      <c r="C391" t="s">
        <v>438</v>
      </c>
      <c r="D391" t="s">
        <v>5</v>
      </c>
      <c r="E391" t="s">
        <v>438</v>
      </c>
      <c r="F391" t="s">
        <v>438</v>
      </c>
      <c r="G391" t="s">
        <v>1</v>
      </c>
      <c r="H391" s="6" t="s">
        <v>130</v>
      </c>
      <c r="I391" s="14">
        <v>2017</v>
      </c>
      <c r="J391" t="s">
        <v>135</v>
      </c>
      <c r="K391" t="s">
        <v>202</v>
      </c>
      <c r="L391" t="s">
        <v>136</v>
      </c>
    </row>
    <row r="392" spans="1:12" x14ac:dyDescent="0.25">
      <c r="A392" t="s">
        <v>5</v>
      </c>
      <c r="B392" s="14" t="s">
        <v>50</v>
      </c>
      <c r="C392" t="s">
        <v>439</v>
      </c>
      <c r="D392" t="s">
        <v>5</v>
      </c>
      <c r="E392" t="s">
        <v>439</v>
      </c>
      <c r="F392" t="s">
        <v>439</v>
      </c>
      <c r="G392" t="s">
        <v>1</v>
      </c>
      <c r="H392" s="6" t="s">
        <v>130</v>
      </c>
      <c r="I392" s="14">
        <v>2017</v>
      </c>
      <c r="J392" t="s">
        <v>135</v>
      </c>
      <c r="K392" t="s">
        <v>202</v>
      </c>
      <c r="L392" t="s">
        <v>136</v>
      </c>
    </row>
    <row r="393" spans="1:12" x14ac:dyDescent="0.25">
      <c r="A393" t="s">
        <v>5</v>
      </c>
      <c r="B393" s="14" t="s">
        <v>50</v>
      </c>
      <c r="C393" t="s">
        <v>173</v>
      </c>
      <c r="D393" t="s">
        <v>5</v>
      </c>
      <c r="E393" t="s">
        <v>173</v>
      </c>
      <c r="F393" t="s">
        <v>173</v>
      </c>
      <c r="G393" t="s">
        <v>1</v>
      </c>
      <c r="H393" s="6" t="s">
        <v>130</v>
      </c>
      <c r="I393" s="14">
        <v>2017</v>
      </c>
      <c r="J393" t="s">
        <v>135</v>
      </c>
      <c r="K393" t="s">
        <v>202</v>
      </c>
      <c r="L393" t="s">
        <v>136</v>
      </c>
    </row>
    <row r="394" spans="1:12" x14ac:dyDescent="0.25">
      <c r="A394" t="s">
        <v>5</v>
      </c>
      <c r="B394" s="14" t="s">
        <v>50</v>
      </c>
      <c r="C394" t="s">
        <v>174</v>
      </c>
      <c r="D394" t="s">
        <v>5</v>
      </c>
      <c r="E394" t="s">
        <v>174</v>
      </c>
      <c r="F394" t="s">
        <v>174</v>
      </c>
      <c r="G394" t="s">
        <v>1</v>
      </c>
      <c r="H394" s="6" t="s">
        <v>130</v>
      </c>
      <c r="I394" s="14">
        <v>2017</v>
      </c>
      <c r="J394" t="s">
        <v>135</v>
      </c>
      <c r="K394" t="s">
        <v>202</v>
      </c>
      <c r="L394" t="s">
        <v>136</v>
      </c>
    </row>
    <row r="395" spans="1:12" x14ac:dyDescent="0.25">
      <c r="A395" t="s">
        <v>5</v>
      </c>
      <c r="B395" s="14" t="s">
        <v>50</v>
      </c>
      <c r="C395" t="s">
        <v>440</v>
      </c>
      <c r="D395" t="s">
        <v>5</v>
      </c>
      <c r="E395" t="s">
        <v>440</v>
      </c>
      <c r="F395" t="s">
        <v>440</v>
      </c>
      <c r="G395" t="s">
        <v>1</v>
      </c>
      <c r="H395" s="6" t="s">
        <v>130</v>
      </c>
      <c r="I395" s="14">
        <v>2017</v>
      </c>
      <c r="J395" t="s">
        <v>135</v>
      </c>
      <c r="K395" t="s">
        <v>202</v>
      </c>
      <c r="L395" t="s">
        <v>136</v>
      </c>
    </row>
    <row r="396" spans="1:12" x14ac:dyDescent="0.25">
      <c r="A396" t="s">
        <v>5</v>
      </c>
      <c r="B396" s="14" t="s">
        <v>50</v>
      </c>
      <c r="C396" t="s">
        <v>231</v>
      </c>
      <c r="D396" t="s">
        <v>5</v>
      </c>
      <c r="E396" t="s">
        <v>231</v>
      </c>
      <c r="F396" t="s">
        <v>231</v>
      </c>
      <c r="G396" t="s">
        <v>1</v>
      </c>
      <c r="H396" s="6" t="s">
        <v>130</v>
      </c>
      <c r="I396" s="14">
        <v>2017</v>
      </c>
      <c r="J396" t="s">
        <v>135</v>
      </c>
      <c r="K396" t="s">
        <v>202</v>
      </c>
      <c r="L396" t="s">
        <v>136</v>
      </c>
    </row>
    <row r="397" spans="1:12" x14ac:dyDescent="0.25">
      <c r="A397" t="s">
        <v>5</v>
      </c>
      <c r="B397" s="14" t="s">
        <v>50</v>
      </c>
      <c r="C397" t="s">
        <v>441</v>
      </c>
      <c r="D397" t="s">
        <v>5</v>
      </c>
      <c r="E397" t="s">
        <v>441</v>
      </c>
      <c r="F397" t="s">
        <v>441</v>
      </c>
      <c r="G397" t="s">
        <v>1</v>
      </c>
      <c r="H397" s="6" t="s">
        <v>130</v>
      </c>
      <c r="I397" s="14">
        <v>2017</v>
      </c>
      <c r="J397" t="s">
        <v>135</v>
      </c>
      <c r="K397" t="s">
        <v>202</v>
      </c>
      <c r="L397" t="s">
        <v>136</v>
      </c>
    </row>
    <row r="398" spans="1:12" x14ac:dyDescent="0.25">
      <c r="A398" t="s">
        <v>5</v>
      </c>
      <c r="B398" s="14" t="s">
        <v>50</v>
      </c>
      <c r="C398" t="s">
        <v>442</v>
      </c>
      <c r="D398" t="s">
        <v>5</v>
      </c>
      <c r="E398" t="s">
        <v>442</v>
      </c>
      <c r="F398" s="39" t="s">
        <v>442</v>
      </c>
      <c r="G398" t="s">
        <v>1</v>
      </c>
      <c r="H398" s="6" t="s">
        <v>130</v>
      </c>
      <c r="I398" s="14">
        <v>2017</v>
      </c>
      <c r="J398" t="s">
        <v>135</v>
      </c>
      <c r="K398" t="s">
        <v>202</v>
      </c>
      <c r="L398" t="s">
        <v>136</v>
      </c>
    </row>
    <row r="399" spans="1:12" x14ac:dyDescent="0.25">
      <c r="A399" t="s">
        <v>5</v>
      </c>
      <c r="B399" s="14" t="s">
        <v>50</v>
      </c>
      <c r="C399" t="s">
        <v>443</v>
      </c>
      <c r="D399" t="s">
        <v>5</v>
      </c>
      <c r="E399" t="s">
        <v>443</v>
      </c>
      <c r="F399" t="s">
        <v>443</v>
      </c>
      <c r="G399" t="s">
        <v>1</v>
      </c>
      <c r="H399" s="6" t="s">
        <v>130</v>
      </c>
      <c r="I399" s="14">
        <v>2017</v>
      </c>
      <c r="J399" t="s">
        <v>135</v>
      </c>
      <c r="K399" t="s">
        <v>202</v>
      </c>
      <c r="L399" t="s">
        <v>136</v>
      </c>
    </row>
    <row r="400" spans="1:12" x14ac:dyDescent="0.25">
      <c r="A400" t="s">
        <v>5</v>
      </c>
      <c r="B400" s="14" t="s">
        <v>50</v>
      </c>
      <c r="C400" t="s">
        <v>444</v>
      </c>
      <c r="D400" t="s">
        <v>5</v>
      </c>
      <c r="E400" t="s">
        <v>444</v>
      </c>
      <c r="F400" t="s">
        <v>444</v>
      </c>
      <c r="G400" t="s">
        <v>1</v>
      </c>
      <c r="H400" s="6" t="s">
        <v>130</v>
      </c>
      <c r="I400" s="14">
        <v>2017</v>
      </c>
      <c r="J400" t="s">
        <v>135</v>
      </c>
      <c r="K400" t="s">
        <v>202</v>
      </c>
      <c r="L400" t="s">
        <v>136</v>
      </c>
    </row>
    <row r="401" spans="1:12" x14ac:dyDescent="0.25">
      <c r="A401" t="s">
        <v>5</v>
      </c>
      <c r="B401" s="14" t="s">
        <v>50</v>
      </c>
      <c r="C401" t="s">
        <v>445</v>
      </c>
      <c r="D401" t="s">
        <v>5</v>
      </c>
      <c r="E401" t="s">
        <v>445</v>
      </c>
      <c r="F401" t="s">
        <v>445</v>
      </c>
      <c r="G401" t="s">
        <v>1</v>
      </c>
      <c r="H401" s="6" t="s">
        <v>130</v>
      </c>
      <c r="I401" s="14">
        <v>2017</v>
      </c>
      <c r="J401" t="s">
        <v>135</v>
      </c>
      <c r="K401" t="s">
        <v>202</v>
      </c>
      <c r="L401" t="s">
        <v>136</v>
      </c>
    </row>
    <row r="402" spans="1:12" x14ac:dyDescent="0.25">
      <c r="A402" t="s">
        <v>5</v>
      </c>
      <c r="B402" s="14" t="s">
        <v>50</v>
      </c>
      <c r="C402" t="s">
        <v>446</v>
      </c>
      <c r="D402" t="s">
        <v>5</v>
      </c>
      <c r="E402" t="s">
        <v>446</v>
      </c>
      <c r="F402" t="s">
        <v>446</v>
      </c>
      <c r="G402" t="s">
        <v>1</v>
      </c>
      <c r="H402" s="6" t="s">
        <v>130</v>
      </c>
      <c r="I402" s="14">
        <v>2017</v>
      </c>
      <c r="J402" t="s">
        <v>135</v>
      </c>
      <c r="K402" t="s">
        <v>202</v>
      </c>
      <c r="L402" t="s">
        <v>136</v>
      </c>
    </row>
    <row r="403" spans="1:12" x14ac:dyDescent="0.25">
      <c r="A403" t="s">
        <v>5</v>
      </c>
      <c r="B403" s="14" t="s">
        <v>50</v>
      </c>
      <c r="C403" t="s">
        <v>447</v>
      </c>
      <c r="D403" t="s">
        <v>5</v>
      </c>
      <c r="E403" t="s">
        <v>447</v>
      </c>
      <c r="F403" t="s">
        <v>447</v>
      </c>
      <c r="G403" t="s">
        <v>1</v>
      </c>
      <c r="H403" s="6" t="s">
        <v>130</v>
      </c>
      <c r="I403" s="14">
        <v>2017</v>
      </c>
      <c r="J403" t="s">
        <v>135</v>
      </c>
      <c r="K403" t="s">
        <v>202</v>
      </c>
      <c r="L403" t="s">
        <v>136</v>
      </c>
    </row>
    <row r="404" spans="1:12" x14ac:dyDescent="0.25">
      <c r="A404" t="s">
        <v>5</v>
      </c>
      <c r="B404" s="14" t="s">
        <v>50</v>
      </c>
      <c r="C404" t="s">
        <v>448</v>
      </c>
      <c r="D404" t="s">
        <v>5</v>
      </c>
      <c r="E404" t="s">
        <v>448</v>
      </c>
      <c r="F404" t="s">
        <v>448</v>
      </c>
      <c r="G404" t="s">
        <v>1</v>
      </c>
      <c r="H404" s="6" t="s">
        <v>130</v>
      </c>
      <c r="I404" s="14">
        <v>2017</v>
      </c>
      <c r="J404" t="s">
        <v>135</v>
      </c>
      <c r="K404" t="s">
        <v>202</v>
      </c>
      <c r="L404" t="s">
        <v>136</v>
      </c>
    </row>
    <row r="405" spans="1:12" x14ac:dyDescent="0.25">
      <c r="A405" t="s">
        <v>5</v>
      </c>
      <c r="B405" s="14" t="s">
        <v>50</v>
      </c>
      <c r="C405" t="s">
        <v>449</v>
      </c>
      <c r="D405" t="s">
        <v>5</v>
      </c>
      <c r="E405" t="s">
        <v>449</v>
      </c>
      <c r="F405" t="s">
        <v>449</v>
      </c>
      <c r="G405" t="s">
        <v>1</v>
      </c>
      <c r="H405" s="6" t="s">
        <v>130</v>
      </c>
      <c r="I405" s="14">
        <v>2017</v>
      </c>
      <c r="J405" t="s">
        <v>135</v>
      </c>
      <c r="K405" t="s">
        <v>202</v>
      </c>
      <c r="L405" t="s">
        <v>136</v>
      </c>
    </row>
    <row r="406" spans="1:12" x14ac:dyDescent="0.25">
      <c r="A406" t="s">
        <v>5</v>
      </c>
      <c r="B406" s="14" t="s">
        <v>50</v>
      </c>
      <c r="C406" t="s">
        <v>450</v>
      </c>
      <c r="D406" t="s">
        <v>5</v>
      </c>
      <c r="E406" t="s">
        <v>450</v>
      </c>
      <c r="F406" t="s">
        <v>450</v>
      </c>
      <c r="G406" t="s">
        <v>1</v>
      </c>
      <c r="H406" s="6" t="s">
        <v>130</v>
      </c>
      <c r="I406" s="14">
        <v>2017</v>
      </c>
      <c r="J406" t="s">
        <v>135</v>
      </c>
      <c r="K406" t="s">
        <v>202</v>
      </c>
      <c r="L406" t="s">
        <v>136</v>
      </c>
    </row>
    <row r="407" spans="1:12" x14ac:dyDescent="0.25">
      <c r="A407" t="s">
        <v>5</v>
      </c>
      <c r="B407" s="14" t="s">
        <v>50</v>
      </c>
      <c r="C407" t="s">
        <v>213</v>
      </c>
      <c r="D407" t="s">
        <v>5</v>
      </c>
      <c r="E407" t="s">
        <v>213</v>
      </c>
      <c r="F407" t="s">
        <v>213</v>
      </c>
      <c r="G407" t="s">
        <v>1</v>
      </c>
      <c r="H407" s="6" t="s">
        <v>130</v>
      </c>
      <c r="I407" s="14">
        <v>2017</v>
      </c>
      <c r="J407" t="s">
        <v>135</v>
      </c>
      <c r="K407" t="s">
        <v>202</v>
      </c>
      <c r="L407" t="s">
        <v>136</v>
      </c>
    </row>
    <row r="408" spans="1:12" x14ac:dyDescent="0.25">
      <c r="A408" t="s">
        <v>5</v>
      </c>
      <c r="B408" s="14" t="s">
        <v>50</v>
      </c>
      <c r="C408" t="s">
        <v>451</v>
      </c>
      <c r="D408" t="s">
        <v>5</v>
      </c>
      <c r="E408" t="s">
        <v>451</v>
      </c>
      <c r="F408" t="s">
        <v>451</v>
      </c>
      <c r="G408" t="s">
        <v>1</v>
      </c>
      <c r="H408" s="6" t="s">
        <v>130</v>
      </c>
      <c r="I408" s="14">
        <v>2017</v>
      </c>
      <c r="J408" t="s">
        <v>135</v>
      </c>
      <c r="K408" t="s">
        <v>202</v>
      </c>
      <c r="L408" t="s">
        <v>136</v>
      </c>
    </row>
    <row r="409" spans="1:12" x14ac:dyDescent="0.25">
      <c r="A409" t="s">
        <v>5</v>
      </c>
      <c r="B409" s="14" t="s">
        <v>50</v>
      </c>
      <c r="C409" t="s">
        <v>239</v>
      </c>
      <c r="D409" t="s">
        <v>5</v>
      </c>
      <c r="E409" t="s">
        <v>239</v>
      </c>
      <c r="F409" t="s">
        <v>239</v>
      </c>
      <c r="G409" t="s">
        <v>1</v>
      </c>
      <c r="H409" s="6" t="s">
        <v>130</v>
      </c>
      <c r="I409" s="14">
        <v>2017</v>
      </c>
      <c r="J409" t="s">
        <v>135</v>
      </c>
      <c r="K409" t="s">
        <v>202</v>
      </c>
      <c r="L409" t="s">
        <v>136</v>
      </c>
    </row>
    <row r="410" spans="1:12" x14ac:dyDescent="0.25">
      <c r="A410" t="s">
        <v>5</v>
      </c>
      <c r="B410" s="14" t="s">
        <v>50</v>
      </c>
      <c r="C410" t="s">
        <v>452</v>
      </c>
      <c r="D410" t="s">
        <v>5</v>
      </c>
      <c r="E410" t="s">
        <v>452</v>
      </c>
      <c r="F410" t="s">
        <v>452</v>
      </c>
      <c r="G410" t="s">
        <v>1</v>
      </c>
      <c r="H410" s="6" t="s">
        <v>130</v>
      </c>
      <c r="I410" s="14">
        <v>2017</v>
      </c>
      <c r="J410" t="s">
        <v>135</v>
      </c>
      <c r="K410" t="s">
        <v>202</v>
      </c>
      <c r="L410" t="s">
        <v>136</v>
      </c>
    </row>
    <row r="411" spans="1:12" x14ac:dyDescent="0.25">
      <c r="A411" t="s">
        <v>5</v>
      </c>
      <c r="B411" s="14" t="s">
        <v>50</v>
      </c>
      <c r="C411" t="s">
        <v>238</v>
      </c>
      <c r="D411" t="s">
        <v>5</v>
      </c>
      <c r="E411" t="s">
        <v>238</v>
      </c>
      <c r="F411" t="s">
        <v>238</v>
      </c>
      <c r="G411" t="s">
        <v>1</v>
      </c>
      <c r="H411" s="6" t="s">
        <v>130</v>
      </c>
      <c r="I411" s="14">
        <v>2017</v>
      </c>
      <c r="J411" t="s">
        <v>135</v>
      </c>
      <c r="K411" t="s">
        <v>202</v>
      </c>
      <c r="L411" t="s">
        <v>136</v>
      </c>
    </row>
    <row r="412" spans="1:12" x14ac:dyDescent="0.25">
      <c r="A412" t="s">
        <v>5</v>
      </c>
      <c r="B412" s="14" t="s">
        <v>50</v>
      </c>
      <c r="C412" t="s">
        <v>235</v>
      </c>
      <c r="D412" t="s">
        <v>5</v>
      </c>
      <c r="E412" t="s">
        <v>235</v>
      </c>
      <c r="F412" t="s">
        <v>235</v>
      </c>
      <c r="G412" t="s">
        <v>1</v>
      </c>
      <c r="H412" s="6" t="s">
        <v>130</v>
      </c>
      <c r="I412" s="14">
        <v>2017</v>
      </c>
      <c r="J412" t="s">
        <v>135</v>
      </c>
      <c r="K412" t="s">
        <v>202</v>
      </c>
      <c r="L412" t="s">
        <v>136</v>
      </c>
    </row>
    <row r="413" spans="1:12" x14ac:dyDescent="0.25">
      <c r="A413" t="s">
        <v>5</v>
      </c>
      <c r="B413" s="14" t="s">
        <v>50</v>
      </c>
      <c r="C413" t="s">
        <v>234</v>
      </c>
      <c r="D413" t="s">
        <v>5</v>
      </c>
      <c r="E413" t="s">
        <v>234</v>
      </c>
      <c r="F413" t="s">
        <v>234</v>
      </c>
      <c r="G413" t="s">
        <v>1</v>
      </c>
      <c r="H413" s="6" t="s">
        <v>130</v>
      </c>
      <c r="I413" s="14">
        <v>2017</v>
      </c>
      <c r="J413" t="s">
        <v>135</v>
      </c>
      <c r="K413" t="s">
        <v>202</v>
      </c>
      <c r="L413" t="s">
        <v>136</v>
      </c>
    </row>
    <row r="414" spans="1:12" x14ac:dyDescent="0.25">
      <c r="A414" t="s">
        <v>5</v>
      </c>
      <c r="B414" s="14" t="s">
        <v>50</v>
      </c>
      <c r="C414" t="s">
        <v>453</v>
      </c>
      <c r="D414" t="s">
        <v>5</v>
      </c>
      <c r="E414" t="s">
        <v>453</v>
      </c>
      <c r="F414" t="s">
        <v>453</v>
      </c>
      <c r="G414" t="s">
        <v>1</v>
      </c>
      <c r="H414" s="6" t="s">
        <v>130</v>
      </c>
      <c r="I414" s="14">
        <v>2017</v>
      </c>
      <c r="J414" t="s">
        <v>135</v>
      </c>
      <c r="K414" t="s">
        <v>202</v>
      </c>
      <c r="L414" t="s">
        <v>136</v>
      </c>
    </row>
    <row r="415" spans="1:12" x14ac:dyDescent="0.25">
      <c r="A415" t="s">
        <v>5</v>
      </c>
      <c r="B415" s="14" t="s">
        <v>50</v>
      </c>
      <c r="C415" t="s">
        <v>172</v>
      </c>
      <c r="D415" t="s">
        <v>5</v>
      </c>
      <c r="E415" t="s">
        <v>172</v>
      </c>
      <c r="F415" t="s">
        <v>172</v>
      </c>
      <c r="G415" t="s">
        <v>1</v>
      </c>
      <c r="H415" s="6" t="s">
        <v>130</v>
      </c>
      <c r="I415" s="14">
        <v>2017</v>
      </c>
      <c r="J415" t="s">
        <v>135</v>
      </c>
      <c r="K415" t="s">
        <v>202</v>
      </c>
      <c r="L415" t="s">
        <v>136</v>
      </c>
    </row>
    <row r="416" spans="1:12" x14ac:dyDescent="0.25">
      <c r="A416" t="s">
        <v>5</v>
      </c>
      <c r="B416" s="14" t="s">
        <v>50</v>
      </c>
      <c r="C416" t="s">
        <v>233</v>
      </c>
      <c r="D416" t="s">
        <v>5</v>
      </c>
      <c r="E416" t="s">
        <v>233</v>
      </c>
      <c r="F416" t="s">
        <v>233</v>
      </c>
      <c r="G416" t="s">
        <v>1</v>
      </c>
      <c r="H416" s="6" t="s">
        <v>130</v>
      </c>
      <c r="I416" s="14">
        <v>2017</v>
      </c>
      <c r="J416" t="s">
        <v>135</v>
      </c>
      <c r="K416" t="s">
        <v>202</v>
      </c>
      <c r="L416" t="s">
        <v>136</v>
      </c>
    </row>
    <row r="417" spans="1:12" x14ac:dyDescent="0.25">
      <c r="A417" t="s">
        <v>5</v>
      </c>
      <c r="B417" s="14" t="s">
        <v>50</v>
      </c>
      <c r="C417" t="s">
        <v>454</v>
      </c>
      <c r="D417" t="s">
        <v>5</v>
      </c>
      <c r="E417" t="s">
        <v>454</v>
      </c>
      <c r="F417" t="s">
        <v>454</v>
      </c>
      <c r="G417" t="s">
        <v>1</v>
      </c>
      <c r="H417" s="6" t="s">
        <v>130</v>
      </c>
      <c r="I417" s="14">
        <v>2017</v>
      </c>
      <c r="J417" t="s">
        <v>135</v>
      </c>
      <c r="K417" t="s">
        <v>202</v>
      </c>
      <c r="L417" t="s">
        <v>136</v>
      </c>
    </row>
    <row r="418" spans="1:12" x14ac:dyDescent="0.25">
      <c r="A418" t="s">
        <v>52</v>
      </c>
      <c r="B418" s="14" t="s">
        <v>52</v>
      </c>
      <c r="C418" t="s">
        <v>455</v>
      </c>
      <c r="D418" t="s">
        <v>52</v>
      </c>
      <c r="E418" t="s">
        <v>455</v>
      </c>
      <c r="F418" t="s">
        <v>455</v>
      </c>
      <c r="G418" t="s">
        <v>1</v>
      </c>
      <c r="H418" s="6" t="s">
        <v>130</v>
      </c>
      <c r="I418" s="14">
        <v>2017</v>
      </c>
      <c r="J418" t="s">
        <v>135</v>
      </c>
      <c r="K418" t="s">
        <v>202</v>
      </c>
      <c r="L418" t="s">
        <v>136</v>
      </c>
    </row>
    <row r="419" spans="1:12" x14ac:dyDescent="0.25">
      <c r="A419" t="s">
        <v>52</v>
      </c>
      <c r="B419" s="14" t="s">
        <v>52</v>
      </c>
      <c r="C419" t="s">
        <v>456</v>
      </c>
      <c r="D419" t="s">
        <v>5</v>
      </c>
      <c r="E419" t="s">
        <v>456</v>
      </c>
      <c r="F419" t="s">
        <v>456</v>
      </c>
      <c r="G419" t="s">
        <v>1</v>
      </c>
      <c r="H419" s="6" t="s">
        <v>130</v>
      </c>
      <c r="I419" s="14">
        <v>2017</v>
      </c>
      <c r="J419" t="s">
        <v>135</v>
      </c>
      <c r="K419" t="s">
        <v>202</v>
      </c>
      <c r="L419" t="s">
        <v>136</v>
      </c>
    </row>
    <row r="420" spans="1:12" x14ac:dyDescent="0.25">
      <c r="A420" t="s">
        <v>52</v>
      </c>
      <c r="B420" s="14" t="s">
        <v>52</v>
      </c>
      <c r="C420" t="s">
        <v>171</v>
      </c>
      <c r="D420" t="s">
        <v>52</v>
      </c>
      <c r="E420" t="s">
        <v>171</v>
      </c>
      <c r="F420" t="s">
        <v>171</v>
      </c>
      <c r="G420" t="s">
        <v>1</v>
      </c>
      <c r="H420" s="6" t="s">
        <v>130</v>
      </c>
      <c r="I420" s="14">
        <v>2017</v>
      </c>
      <c r="J420" t="s">
        <v>135</v>
      </c>
      <c r="K420" t="s">
        <v>202</v>
      </c>
      <c r="L420" t="s">
        <v>136</v>
      </c>
    </row>
    <row r="421" spans="1:12" x14ac:dyDescent="0.25">
      <c r="A421" t="s">
        <v>52</v>
      </c>
      <c r="B421" s="14" t="s">
        <v>52</v>
      </c>
      <c r="C421" t="s">
        <v>457</v>
      </c>
      <c r="D421" t="s">
        <v>52</v>
      </c>
      <c r="E421" t="s">
        <v>457</v>
      </c>
      <c r="F421" t="s">
        <v>457</v>
      </c>
      <c r="G421" t="s">
        <v>1</v>
      </c>
      <c r="H421" s="6" t="s">
        <v>130</v>
      </c>
      <c r="I421" s="14">
        <v>2017</v>
      </c>
      <c r="J421" t="s">
        <v>135</v>
      </c>
      <c r="K421" t="s">
        <v>202</v>
      </c>
      <c r="L421" t="s">
        <v>136</v>
      </c>
    </row>
    <row r="422" spans="1:12" x14ac:dyDescent="0.25">
      <c r="A422" t="s">
        <v>52</v>
      </c>
      <c r="B422" s="14" t="s">
        <v>52</v>
      </c>
      <c r="C422" t="s">
        <v>216</v>
      </c>
      <c r="D422" t="s">
        <v>52</v>
      </c>
      <c r="E422" t="s">
        <v>216</v>
      </c>
      <c r="F422" t="s">
        <v>216</v>
      </c>
      <c r="G422" t="s">
        <v>1</v>
      </c>
      <c r="H422" s="6" t="s">
        <v>130</v>
      </c>
      <c r="I422" s="14">
        <v>2017</v>
      </c>
      <c r="J422" t="s">
        <v>135</v>
      </c>
      <c r="K422" t="s">
        <v>202</v>
      </c>
      <c r="L422" t="s">
        <v>136</v>
      </c>
    </row>
    <row r="423" spans="1:12" x14ac:dyDescent="0.25">
      <c r="A423" t="s">
        <v>52</v>
      </c>
      <c r="B423" s="14" t="s">
        <v>53</v>
      </c>
      <c r="C423" t="s">
        <v>458</v>
      </c>
      <c r="D423" t="s">
        <v>52</v>
      </c>
      <c r="E423" t="s">
        <v>458</v>
      </c>
      <c r="F423" t="s">
        <v>458</v>
      </c>
      <c r="G423" t="s">
        <v>1</v>
      </c>
      <c r="H423" s="6" t="s">
        <v>130</v>
      </c>
      <c r="I423" s="14">
        <v>2017</v>
      </c>
      <c r="J423" t="s">
        <v>135</v>
      </c>
      <c r="K423" t="s">
        <v>202</v>
      </c>
      <c r="L423" t="s">
        <v>136</v>
      </c>
    </row>
    <row r="424" spans="1:12" x14ac:dyDescent="0.25">
      <c r="A424" t="s">
        <v>54</v>
      </c>
      <c r="B424" s="14">
        <v>0</v>
      </c>
      <c r="C424" t="s">
        <v>200</v>
      </c>
      <c r="D424" t="s">
        <v>54</v>
      </c>
      <c r="E424" t="s">
        <v>200</v>
      </c>
      <c r="F424" t="s">
        <v>200</v>
      </c>
      <c r="G424" t="s">
        <v>1</v>
      </c>
      <c r="H424" s="6" t="s">
        <v>130</v>
      </c>
      <c r="I424" s="14">
        <v>2017</v>
      </c>
      <c r="J424" t="s">
        <v>135</v>
      </c>
      <c r="K424" t="s">
        <v>202</v>
      </c>
      <c r="L424" t="s">
        <v>136</v>
      </c>
    </row>
    <row r="425" spans="1:12" x14ac:dyDescent="0.25">
      <c r="A425" t="s">
        <v>64</v>
      </c>
      <c r="B425" s="14">
        <v>0</v>
      </c>
      <c r="C425" t="s">
        <v>459</v>
      </c>
      <c r="D425" t="s">
        <v>64</v>
      </c>
      <c r="E425" t="s">
        <v>459</v>
      </c>
      <c r="F425" t="s">
        <v>459</v>
      </c>
      <c r="G425" t="s">
        <v>1</v>
      </c>
      <c r="H425" s="6" t="s">
        <v>130</v>
      </c>
      <c r="I425" s="14">
        <v>2017</v>
      </c>
      <c r="J425" t="s">
        <v>135</v>
      </c>
      <c r="K425" t="s">
        <v>202</v>
      </c>
      <c r="L425" t="s">
        <v>136</v>
      </c>
    </row>
    <row r="426" spans="1:12" x14ac:dyDescent="0.25">
      <c r="A426" t="s">
        <v>57</v>
      </c>
      <c r="B426" s="14" t="s">
        <v>57</v>
      </c>
      <c r="C426" t="s">
        <v>460</v>
      </c>
      <c r="D426" t="s">
        <v>57</v>
      </c>
      <c r="E426" t="s">
        <v>460</v>
      </c>
      <c r="F426" t="s">
        <v>460</v>
      </c>
      <c r="G426" t="s">
        <v>1</v>
      </c>
      <c r="H426" s="6" t="s">
        <v>130</v>
      </c>
      <c r="I426" s="14">
        <v>2017</v>
      </c>
      <c r="J426" t="s">
        <v>135</v>
      </c>
      <c r="K426" t="s">
        <v>202</v>
      </c>
      <c r="L426" t="s">
        <v>136</v>
      </c>
    </row>
    <row r="427" spans="1:12" x14ac:dyDescent="0.25">
      <c r="A427" t="s">
        <v>57</v>
      </c>
      <c r="B427" s="14" t="s">
        <v>57</v>
      </c>
      <c r="C427" t="s">
        <v>461</v>
      </c>
      <c r="D427" t="s">
        <v>57</v>
      </c>
      <c r="E427" t="s">
        <v>461</v>
      </c>
      <c r="F427" t="s">
        <v>461</v>
      </c>
      <c r="G427" t="s">
        <v>1</v>
      </c>
      <c r="H427" s="6" t="s">
        <v>130</v>
      </c>
      <c r="I427" s="14">
        <v>2017</v>
      </c>
      <c r="J427" t="s">
        <v>135</v>
      </c>
      <c r="K427" t="s">
        <v>202</v>
      </c>
      <c r="L427" t="s">
        <v>136</v>
      </c>
    </row>
    <row r="428" spans="1:12" x14ac:dyDescent="0.25">
      <c r="A428" t="s">
        <v>57</v>
      </c>
      <c r="B428" s="14" t="s">
        <v>57</v>
      </c>
      <c r="C428" t="s">
        <v>462</v>
      </c>
      <c r="D428" t="s">
        <v>57</v>
      </c>
      <c r="E428" t="s">
        <v>462</v>
      </c>
      <c r="F428" t="s">
        <v>462</v>
      </c>
      <c r="G428" t="s">
        <v>1</v>
      </c>
      <c r="H428" s="6" t="s">
        <v>130</v>
      </c>
      <c r="I428" s="14">
        <v>2017</v>
      </c>
      <c r="J428" t="s">
        <v>135</v>
      </c>
      <c r="K428" t="s">
        <v>202</v>
      </c>
      <c r="L428" t="s">
        <v>136</v>
      </c>
    </row>
    <row r="429" spans="1:12" x14ac:dyDescent="0.25">
      <c r="A429" t="s">
        <v>57</v>
      </c>
      <c r="B429" s="14" t="s">
        <v>57</v>
      </c>
      <c r="C429" t="s">
        <v>463</v>
      </c>
      <c r="D429" t="s">
        <v>57</v>
      </c>
      <c r="E429" t="s">
        <v>463</v>
      </c>
      <c r="F429" t="s">
        <v>463</v>
      </c>
      <c r="G429" t="s">
        <v>1</v>
      </c>
      <c r="H429" s="6" t="s">
        <v>130</v>
      </c>
      <c r="I429" s="14">
        <v>2017</v>
      </c>
      <c r="J429" t="s">
        <v>135</v>
      </c>
      <c r="K429" t="s">
        <v>202</v>
      </c>
      <c r="L429" t="s">
        <v>136</v>
      </c>
    </row>
    <row r="430" spans="1:12" x14ac:dyDescent="0.25">
      <c r="A430" t="s">
        <v>57</v>
      </c>
      <c r="B430" s="14" t="s">
        <v>57</v>
      </c>
      <c r="C430" t="s">
        <v>464</v>
      </c>
      <c r="D430" t="s">
        <v>57</v>
      </c>
      <c r="E430" t="s">
        <v>464</v>
      </c>
      <c r="F430" t="s">
        <v>464</v>
      </c>
      <c r="G430" t="s">
        <v>1</v>
      </c>
      <c r="H430" s="6" t="s">
        <v>130</v>
      </c>
      <c r="I430" s="14">
        <v>2017</v>
      </c>
      <c r="J430" t="s">
        <v>135</v>
      </c>
      <c r="K430" t="s">
        <v>202</v>
      </c>
      <c r="L430" t="s">
        <v>136</v>
      </c>
    </row>
    <row r="431" spans="1:12" x14ac:dyDescent="0.25">
      <c r="A431" t="s">
        <v>60</v>
      </c>
      <c r="B431" s="14">
        <v>0</v>
      </c>
      <c r="C431" t="s">
        <v>465</v>
      </c>
      <c r="D431" t="s">
        <v>60</v>
      </c>
      <c r="E431" t="s">
        <v>465</v>
      </c>
      <c r="F431" t="s">
        <v>465</v>
      </c>
      <c r="G431" t="s">
        <v>1</v>
      </c>
      <c r="H431" s="6" t="s">
        <v>130</v>
      </c>
      <c r="I431" s="14">
        <v>2017</v>
      </c>
      <c r="J431" t="s">
        <v>135</v>
      </c>
      <c r="K431" t="s">
        <v>202</v>
      </c>
      <c r="L431" t="s">
        <v>136</v>
      </c>
    </row>
    <row r="432" spans="1:12" x14ac:dyDescent="0.25">
      <c r="A432" t="s">
        <v>57</v>
      </c>
      <c r="B432" s="14" t="s">
        <v>58</v>
      </c>
      <c r="C432" t="s">
        <v>466</v>
      </c>
      <c r="D432" t="s">
        <v>57</v>
      </c>
      <c r="E432" t="s">
        <v>466</v>
      </c>
      <c r="F432" t="s">
        <v>466</v>
      </c>
      <c r="G432" t="s">
        <v>1</v>
      </c>
      <c r="H432" s="6" t="s">
        <v>130</v>
      </c>
      <c r="I432" s="14">
        <v>2017</v>
      </c>
      <c r="J432" t="s">
        <v>135</v>
      </c>
      <c r="K432" t="s">
        <v>202</v>
      </c>
      <c r="L432" t="s">
        <v>136</v>
      </c>
    </row>
    <row r="433" spans="1:12" x14ac:dyDescent="0.25">
      <c r="A433" t="s">
        <v>98</v>
      </c>
      <c r="B433" s="14" t="s">
        <v>134</v>
      </c>
      <c r="C433" t="s">
        <v>307</v>
      </c>
      <c r="D433" t="s">
        <v>98</v>
      </c>
      <c r="E433" t="s">
        <v>307</v>
      </c>
      <c r="F433" t="s">
        <v>307</v>
      </c>
      <c r="G433" t="s">
        <v>98</v>
      </c>
      <c r="H433" s="6" t="s">
        <v>130</v>
      </c>
      <c r="I433" s="14">
        <v>2017</v>
      </c>
      <c r="J433" t="s">
        <v>135</v>
      </c>
      <c r="K433" t="s">
        <v>202</v>
      </c>
      <c r="L433" t="s">
        <v>136</v>
      </c>
    </row>
    <row r="434" spans="1:12" x14ac:dyDescent="0.25">
      <c r="A434" t="s">
        <v>98</v>
      </c>
      <c r="B434" s="14" t="s">
        <v>134</v>
      </c>
      <c r="C434" t="s">
        <v>467</v>
      </c>
      <c r="D434" t="s">
        <v>98</v>
      </c>
      <c r="E434" t="s">
        <v>467</v>
      </c>
      <c r="F434" t="s">
        <v>467</v>
      </c>
      <c r="G434" t="s">
        <v>98</v>
      </c>
      <c r="H434" s="6" t="s">
        <v>130</v>
      </c>
      <c r="I434" s="14">
        <v>2017</v>
      </c>
      <c r="J434" t="s">
        <v>135</v>
      </c>
      <c r="K434" t="s">
        <v>202</v>
      </c>
      <c r="L434" t="s">
        <v>136</v>
      </c>
    </row>
    <row r="435" spans="1:12" x14ac:dyDescent="0.25">
      <c r="A435" t="s">
        <v>98</v>
      </c>
      <c r="B435" s="14" t="s">
        <v>134</v>
      </c>
      <c r="C435" t="s">
        <v>468</v>
      </c>
      <c r="D435" t="s">
        <v>98</v>
      </c>
      <c r="E435" t="s">
        <v>468</v>
      </c>
      <c r="F435" t="s">
        <v>468</v>
      </c>
      <c r="G435" t="s">
        <v>98</v>
      </c>
      <c r="H435" s="6" t="s">
        <v>130</v>
      </c>
      <c r="I435" s="14">
        <v>2017</v>
      </c>
      <c r="J435" t="s">
        <v>135</v>
      </c>
      <c r="K435" t="s">
        <v>202</v>
      </c>
      <c r="L435" t="s">
        <v>136</v>
      </c>
    </row>
    <row r="436" spans="1:12" x14ac:dyDescent="0.25">
      <c r="A436" t="s">
        <v>98</v>
      </c>
      <c r="B436" s="14" t="s">
        <v>134</v>
      </c>
      <c r="C436" t="s">
        <v>469</v>
      </c>
      <c r="D436" t="s">
        <v>98</v>
      </c>
      <c r="E436" t="s">
        <v>470</v>
      </c>
      <c r="F436" s="39" t="s">
        <v>469</v>
      </c>
      <c r="G436" t="s">
        <v>98</v>
      </c>
      <c r="H436" s="6" t="s">
        <v>130</v>
      </c>
      <c r="I436" s="14">
        <v>2017</v>
      </c>
      <c r="J436" t="s">
        <v>135</v>
      </c>
      <c r="K436" t="s">
        <v>202</v>
      </c>
      <c r="L436" t="s">
        <v>136</v>
      </c>
    </row>
    <row r="437" spans="1:12" x14ac:dyDescent="0.25">
      <c r="A437" t="s">
        <v>98</v>
      </c>
      <c r="B437" s="14" t="s">
        <v>134</v>
      </c>
      <c r="C437" t="s">
        <v>304</v>
      </c>
      <c r="D437" t="s">
        <v>98</v>
      </c>
      <c r="E437" t="s">
        <v>304</v>
      </c>
      <c r="F437" t="s">
        <v>304</v>
      </c>
      <c r="G437" t="s">
        <v>98</v>
      </c>
      <c r="H437" s="6" t="s">
        <v>130</v>
      </c>
      <c r="I437" s="14">
        <v>2017</v>
      </c>
      <c r="J437" t="s">
        <v>135</v>
      </c>
      <c r="K437" t="s">
        <v>202</v>
      </c>
      <c r="L437" t="s">
        <v>136</v>
      </c>
    </row>
    <row r="438" spans="1:12" x14ac:dyDescent="0.25">
      <c r="A438" t="s">
        <v>98</v>
      </c>
      <c r="B438" s="14" t="s">
        <v>134</v>
      </c>
      <c r="C438" t="s">
        <v>303</v>
      </c>
      <c r="D438" t="s">
        <v>98</v>
      </c>
      <c r="E438" t="s">
        <v>303</v>
      </c>
      <c r="F438" t="s">
        <v>303</v>
      </c>
      <c r="G438" t="s">
        <v>98</v>
      </c>
      <c r="H438" s="6" t="s">
        <v>130</v>
      </c>
      <c r="I438" s="14">
        <v>2017</v>
      </c>
      <c r="J438" t="s">
        <v>135</v>
      </c>
      <c r="K438" t="s">
        <v>202</v>
      </c>
      <c r="L438" t="s">
        <v>136</v>
      </c>
    </row>
    <row r="439" spans="1:12" x14ac:dyDescent="0.25">
      <c r="A439" t="s">
        <v>98</v>
      </c>
      <c r="B439" s="14" t="s">
        <v>98</v>
      </c>
      <c r="C439" t="s">
        <v>309</v>
      </c>
      <c r="D439" t="s">
        <v>98</v>
      </c>
      <c r="E439" t="s">
        <v>309</v>
      </c>
      <c r="F439" t="s">
        <v>309</v>
      </c>
      <c r="G439" t="s">
        <v>98</v>
      </c>
      <c r="H439" s="6" t="s">
        <v>130</v>
      </c>
      <c r="I439" s="14">
        <v>2017</v>
      </c>
      <c r="J439" t="s">
        <v>135</v>
      </c>
      <c r="K439" t="s">
        <v>202</v>
      </c>
      <c r="L439" t="s">
        <v>136</v>
      </c>
    </row>
    <row r="440" spans="1:12" x14ac:dyDescent="0.25">
      <c r="A440" t="s">
        <v>98</v>
      </c>
      <c r="B440" s="14" t="s">
        <v>98</v>
      </c>
      <c r="C440" t="s">
        <v>310</v>
      </c>
      <c r="D440" t="s">
        <v>98</v>
      </c>
      <c r="E440" t="s">
        <v>310</v>
      </c>
      <c r="F440" t="s">
        <v>310</v>
      </c>
      <c r="G440" t="s">
        <v>98</v>
      </c>
      <c r="H440" s="6" t="s">
        <v>130</v>
      </c>
      <c r="I440" s="14">
        <v>2017</v>
      </c>
      <c r="J440" t="s">
        <v>135</v>
      </c>
      <c r="K440" t="s">
        <v>202</v>
      </c>
      <c r="L440" t="s">
        <v>136</v>
      </c>
    </row>
    <row r="441" spans="1:12" x14ac:dyDescent="0.25">
      <c r="A441" t="s">
        <v>98</v>
      </c>
      <c r="B441" s="14" t="s">
        <v>111</v>
      </c>
      <c r="C441" t="s">
        <v>311</v>
      </c>
      <c r="D441" t="s">
        <v>98</v>
      </c>
      <c r="E441" t="s">
        <v>311</v>
      </c>
      <c r="F441" t="s">
        <v>311</v>
      </c>
      <c r="G441" t="s">
        <v>98</v>
      </c>
      <c r="H441" s="6" t="s">
        <v>130</v>
      </c>
      <c r="I441" s="14">
        <v>2017</v>
      </c>
      <c r="J441" t="s">
        <v>135</v>
      </c>
      <c r="K441" t="s">
        <v>202</v>
      </c>
      <c r="L441" t="s">
        <v>136</v>
      </c>
    </row>
    <row r="442" spans="1:12" x14ac:dyDescent="0.25">
      <c r="A442" t="s">
        <v>98</v>
      </c>
      <c r="B442" s="14" t="s">
        <v>111</v>
      </c>
      <c r="C442" t="s">
        <v>166</v>
      </c>
      <c r="D442" t="s">
        <v>98</v>
      </c>
      <c r="E442" t="s">
        <v>166</v>
      </c>
      <c r="F442" t="s">
        <v>166</v>
      </c>
      <c r="G442" t="s">
        <v>98</v>
      </c>
      <c r="H442" s="6" t="s">
        <v>130</v>
      </c>
      <c r="I442" s="14">
        <v>2017</v>
      </c>
      <c r="J442" t="s">
        <v>135</v>
      </c>
      <c r="K442" t="s">
        <v>202</v>
      </c>
      <c r="L442" t="s">
        <v>136</v>
      </c>
    </row>
    <row r="443" spans="1:12" x14ac:dyDescent="0.25">
      <c r="A443" t="s">
        <v>98</v>
      </c>
      <c r="B443" s="14" t="s">
        <v>111</v>
      </c>
      <c r="C443" t="s">
        <v>314</v>
      </c>
      <c r="D443" t="s">
        <v>98</v>
      </c>
      <c r="E443" t="s">
        <v>314</v>
      </c>
      <c r="F443" t="s">
        <v>314</v>
      </c>
      <c r="G443" t="s">
        <v>98</v>
      </c>
      <c r="H443" s="6" t="s">
        <v>130</v>
      </c>
      <c r="I443" s="14">
        <v>2017</v>
      </c>
      <c r="J443" t="s">
        <v>135</v>
      </c>
      <c r="K443" t="s">
        <v>202</v>
      </c>
      <c r="L443" t="s">
        <v>136</v>
      </c>
    </row>
    <row r="444" spans="1:12" x14ac:dyDescent="0.25">
      <c r="A444" t="s">
        <v>98</v>
      </c>
      <c r="B444" s="14" t="s">
        <v>111</v>
      </c>
      <c r="C444" t="s">
        <v>471</v>
      </c>
      <c r="D444" t="s">
        <v>98</v>
      </c>
      <c r="E444" t="s">
        <v>471</v>
      </c>
      <c r="F444" t="s">
        <v>471</v>
      </c>
      <c r="G444" t="s">
        <v>98</v>
      </c>
      <c r="H444" s="6" t="s">
        <v>130</v>
      </c>
      <c r="I444" s="14">
        <v>2017</v>
      </c>
      <c r="J444" t="s">
        <v>135</v>
      </c>
      <c r="K444" t="s">
        <v>202</v>
      </c>
      <c r="L444" t="s">
        <v>136</v>
      </c>
    </row>
    <row r="445" spans="1:12" x14ac:dyDescent="0.25">
      <c r="A445" t="s">
        <v>5</v>
      </c>
      <c r="B445" s="14" t="s">
        <v>38</v>
      </c>
      <c r="C445" t="s">
        <v>355</v>
      </c>
      <c r="D445" t="s">
        <v>38</v>
      </c>
      <c r="E445" t="s">
        <v>355</v>
      </c>
      <c r="F445" t="s">
        <v>355</v>
      </c>
      <c r="G445" t="s">
        <v>0</v>
      </c>
      <c r="H445" s="7" t="s">
        <v>137</v>
      </c>
      <c r="I445" s="14">
        <v>2006</v>
      </c>
      <c r="J445" t="s">
        <v>138</v>
      </c>
      <c r="K445" t="s">
        <v>472</v>
      </c>
      <c r="L445" t="s">
        <v>139</v>
      </c>
    </row>
    <row r="446" spans="1:12" x14ac:dyDescent="0.25">
      <c r="A446" t="s">
        <v>5</v>
      </c>
      <c r="B446" s="14" t="s">
        <v>38</v>
      </c>
      <c r="C446" t="s">
        <v>301</v>
      </c>
      <c r="D446" t="s">
        <v>38</v>
      </c>
      <c r="E446" t="s">
        <v>301</v>
      </c>
      <c r="F446" t="s">
        <v>301</v>
      </c>
      <c r="G446" t="s">
        <v>0</v>
      </c>
      <c r="H446" s="7" t="s">
        <v>137</v>
      </c>
      <c r="I446" s="14">
        <v>2006</v>
      </c>
      <c r="J446" t="s">
        <v>138</v>
      </c>
      <c r="K446" t="s">
        <v>472</v>
      </c>
      <c r="L446" t="s">
        <v>139</v>
      </c>
    </row>
    <row r="447" spans="1:12" x14ac:dyDescent="0.25">
      <c r="A447" t="s">
        <v>5</v>
      </c>
      <c r="B447" s="14" t="s">
        <v>38</v>
      </c>
      <c r="C447" t="s">
        <v>175</v>
      </c>
      <c r="D447" t="s">
        <v>38</v>
      </c>
      <c r="E447" t="s">
        <v>175</v>
      </c>
      <c r="F447" t="s">
        <v>175</v>
      </c>
      <c r="G447" t="s">
        <v>0</v>
      </c>
      <c r="H447" s="7" t="s">
        <v>137</v>
      </c>
      <c r="I447" s="14">
        <v>2006</v>
      </c>
      <c r="J447" t="s">
        <v>138</v>
      </c>
      <c r="K447" t="s">
        <v>472</v>
      </c>
      <c r="L447" t="s">
        <v>139</v>
      </c>
    </row>
    <row r="448" spans="1:12" x14ac:dyDescent="0.25">
      <c r="A448" t="s">
        <v>5</v>
      </c>
      <c r="B448" s="14" t="s">
        <v>38</v>
      </c>
      <c r="C448" t="s">
        <v>369</v>
      </c>
      <c r="D448" t="s">
        <v>38</v>
      </c>
      <c r="E448" t="s">
        <v>369</v>
      </c>
      <c r="F448" t="s">
        <v>369</v>
      </c>
      <c r="G448" t="s">
        <v>0</v>
      </c>
      <c r="H448" s="7" t="s">
        <v>137</v>
      </c>
      <c r="I448" s="14">
        <v>2006</v>
      </c>
      <c r="J448" t="s">
        <v>138</v>
      </c>
      <c r="K448" t="s">
        <v>472</v>
      </c>
      <c r="L448" t="s">
        <v>139</v>
      </c>
    </row>
    <row r="449" spans="1:12" x14ac:dyDescent="0.25">
      <c r="A449" t="s">
        <v>5</v>
      </c>
      <c r="B449" s="14" t="s">
        <v>38</v>
      </c>
      <c r="C449" t="s">
        <v>367</v>
      </c>
      <c r="D449" t="s">
        <v>38</v>
      </c>
      <c r="E449" t="s">
        <v>367</v>
      </c>
      <c r="F449" t="s">
        <v>367</v>
      </c>
      <c r="G449" t="s">
        <v>0</v>
      </c>
      <c r="H449" s="7" t="s">
        <v>137</v>
      </c>
      <c r="I449" s="14">
        <v>2006</v>
      </c>
      <c r="J449" t="s">
        <v>138</v>
      </c>
      <c r="K449" t="s">
        <v>472</v>
      </c>
      <c r="L449" t="s">
        <v>139</v>
      </c>
    </row>
    <row r="450" spans="1:12" x14ac:dyDescent="0.25">
      <c r="A450" t="s">
        <v>5</v>
      </c>
      <c r="B450" s="14" t="s">
        <v>38</v>
      </c>
      <c r="C450" t="s">
        <v>374</v>
      </c>
      <c r="D450" t="s">
        <v>38</v>
      </c>
      <c r="E450" t="s">
        <v>374</v>
      </c>
      <c r="F450" t="s">
        <v>374</v>
      </c>
      <c r="G450" t="s">
        <v>0</v>
      </c>
      <c r="H450" s="7" t="s">
        <v>137</v>
      </c>
      <c r="I450" s="14">
        <v>2006</v>
      </c>
      <c r="J450" t="s">
        <v>138</v>
      </c>
      <c r="K450" t="s">
        <v>472</v>
      </c>
      <c r="L450" t="s">
        <v>139</v>
      </c>
    </row>
    <row r="451" spans="1:12" x14ac:dyDescent="0.25">
      <c r="A451" t="s">
        <v>5</v>
      </c>
      <c r="B451" s="14" t="s">
        <v>38</v>
      </c>
      <c r="C451" t="s">
        <v>376</v>
      </c>
      <c r="D451" t="s">
        <v>38</v>
      </c>
      <c r="E451" t="s">
        <v>376</v>
      </c>
      <c r="F451" t="s">
        <v>376</v>
      </c>
      <c r="G451" t="s">
        <v>0</v>
      </c>
      <c r="H451" s="7" t="s">
        <v>137</v>
      </c>
      <c r="I451" s="14">
        <v>2006</v>
      </c>
      <c r="J451" t="s">
        <v>138</v>
      </c>
      <c r="K451" t="s">
        <v>472</v>
      </c>
      <c r="L451" t="s">
        <v>139</v>
      </c>
    </row>
    <row r="452" spans="1:12" x14ac:dyDescent="0.25">
      <c r="A452" t="s">
        <v>5</v>
      </c>
      <c r="B452" s="14" t="s">
        <v>28</v>
      </c>
      <c r="C452" t="s">
        <v>270</v>
      </c>
      <c r="D452" t="s">
        <v>38</v>
      </c>
      <c r="E452" t="s">
        <v>270</v>
      </c>
      <c r="F452" t="s">
        <v>270</v>
      </c>
      <c r="G452" t="s">
        <v>0</v>
      </c>
      <c r="H452" s="7" t="s">
        <v>137</v>
      </c>
      <c r="I452" s="14">
        <v>2006</v>
      </c>
      <c r="J452" t="s">
        <v>138</v>
      </c>
      <c r="K452" t="s">
        <v>472</v>
      </c>
      <c r="L452" t="s">
        <v>139</v>
      </c>
    </row>
    <row r="453" spans="1:12" x14ac:dyDescent="0.25">
      <c r="A453" t="s">
        <v>5</v>
      </c>
      <c r="B453" s="14" t="s">
        <v>44</v>
      </c>
      <c r="C453" t="s">
        <v>197</v>
      </c>
      <c r="D453" t="s">
        <v>38</v>
      </c>
      <c r="E453" t="s">
        <v>197</v>
      </c>
      <c r="F453" t="s">
        <v>197</v>
      </c>
      <c r="G453" t="s">
        <v>0</v>
      </c>
      <c r="H453" s="7" t="s">
        <v>137</v>
      </c>
      <c r="I453" s="14">
        <v>2006</v>
      </c>
      <c r="J453" t="s">
        <v>138</v>
      </c>
      <c r="K453" t="s">
        <v>472</v>
      </c>
      <c r="L453" t="s">
        <v>139</v>
      </c>
    </row>
    <row r="454" spans="1:12" x14ac:dyDescent="0.25">
      <c r="A454" t="s">
        <v>5</v>
      </c>
      <c r="B454" s="14" t="s">
        <v>38</v>
      </c>
      <c r="C454" t="s">
        <v>289</v>
      </c>
      <c r="D454" t="s">
        <v>38</v>
      </c>
      <c r="E454" t="s">
        <v>289</v>
      </c>
      <c r="F454" t="s">
        <v>289</v>
      </c>
      <c r="G454" t="s">
        <v>0</v>
      </c>
      <c r="H454" s="7" t="s">
        <v>137</v>
      </c>
      <c r="I454" s="14">
        <v>2006</v>
      </c>
      <c r="J454" t="s">
        <v>138</v>
      </c>
      <c r="K454" t="s">
        <v>472</v>
      </c>
      <c r="L454" t="s">
        <v>139</v>
      </c>
    </row>
    <row r="455" spans="1:12" x14ac:dyDescent="0.25">
      <c r="A455" t="s">
        <v>5</v>
      </c>
      <c r="B455" s="14" t="s">
        <v>38</v>
      </c>
      <c r="C455" t="s">
        <v>262</v>
      </c>
      <c r="D455" t="s">
        <v>38</v>
      </c>
      <c r="E455" t="s">
        <v>262</v>
      </c>
      <c r="F455" t="s">
        <v>262</v>
      </c>
      <c r="G455" t="s">
        <v>0</v>
      </c>
      <c r="H455" s="7" t="s">
        <v>137</v>
      </c>
      <c r="I455" s="14">
        <v>2006</v>
      </c>
      <c r="J455" t="s">
        <v>138</v>
      </c>
      <c r="K455" t="s">
        <v>472</v>
      </c>
      <c r="L455" t="s">
        <v>139</v>
      </c>
    </row>
    <row r="456" spans="1:12" x14ac:dyDescent="0.25">
      <c r="A456" t="s">
        <v>5</v>
      </c>
      <c r="B456" s="14" t="s">
        <v>38</v>
      </c>
      <c r="C456" t="s">
        <v>203</v>
      </c>
      <c r="D456" t="s">
        <v>38</v>
      </c>
      <c r="E456" t="s">
        <v>203</v>
      </c>
      <c r="F456" t="s">
        <v>203</v>
      </c>
      <c r="G456" t="s">
        <v>0</v>
      </c>
      <c r="H456" s="7" t="s">
        <v>137</v>
      </c>
      <c r="I456" s="14">
        <v>2006</v>
      </c>
      <c r="J456" t="s">
        <v>138</v>
      </c>
      <c r="K456" t="s">
        <v>472</v>
      </c>
      <c r="L456" t="s">
        <v>139</v>
      </c>
    </row>
    <row r="457" spans="1:12" x14ac:dyDescent="0.25">
      <c r="A457" t="s">
        <v>5</v>
      </c>
      <c r="B457" s="14" t="s">
        <v>38</v>
      </c>
      <c r="C457" t="s">
        <v>254</v>
      </c>
      <c r="D457" t="s">
        <v>38</v>
      </c>
      <c r="E457" t="s">
        <v>254</v>
      </c>
      <c r="F457" t="s">
        <v>254</v>
      </c>
      <c r="G457" t="s">
        <v>0</v>
      </c>
      <c r="H457" s="7" t="s">
        <v>137</v>
      </c>
      <c r="I457" s="14">
        <v>2006</v>
      </c>
      <c r="J457" t="s">
        <v>138</v>
      </c>
      <c r="K457" t="s">
        <v>472</v>
      </c>
      <c r="L457" t="s">
        <v>139</v>
      </c>
    </row>
    <row r="458" spans="1:12" x14ac:dyDescent="0.25">
      <c r="A458" t="s">
        <v>5</v>
      </c>
      <c r="B458" s="14" t="s">
        <v>38</v>
      </c>
      <c r="C458" t="s">
        <v>179</v>
      </c>
      <c r="D458" t="s">
        <v>38</v>
      </c>
      <c r="E458" t="s">
        <v>179</v>
      </c>
      <c r="F458" t="s">
        <v>179</v>
      </c>
      <c r="G458" t="s">
        <v>0</v>
      </c>
      <c r="H458" s="7" t="s">
        <v>137</v>
      </c>
      <c r="I458" s="14">
        <v>2006</v>
      </c>
      <c r="J458" t="s">
        <v>138</v>
      </c>
      <c r="K458" t="s">
        <v>472</v>
      </c>
      <c r="L458" t="s">
        <v>139</v>
      </c>
    </row>
    <row r="459" spans="1:12" x14ac:dyDescent="0.25">
      <c r="A459" t="s">
        <v>5</v>
      </c>
      <c r="B459" s="14" t="s">
        <v>22</v>
      </c>
      <c r="C459" t="s">
        <v>252</v>
      </c>
      <c r="D459" t="s">
        <v>38</v>
      </c>
      <c r="E459" t="s">
        <v>252</v>
      </c>
      <c r="F459" t="s">
        <v>252</v>
      </c>
      <c r="G459" t="s">
        <v>0</v>
      </c>
      <c r="H459" s="7" t="s">
        <v>137</v>
      </c>
      <c r="I459" s="14">
        <v>2006</v>
      </c>
      <c r="J459" t="s">
        <v>138</v>
      </c>
      <c r="K459" t="s">
        <v>472</v>
      </c>
      <c r="L459" t="s">
        <v>139</v>
      </c>
    </row>
    <row r="460" spans="1:12" x14ac:dyDescent="0.25">
      <c r="A460" t="s">
        <v>5</v>
      </c>
      <c r="B460" s="14" t="s">
        <v>50</v>
      </c>
      <c r="C460" t="s">
        <v>174</v>
      </c>
      <c r="D460" t="s">
        <v>5</v>
      </c>
      <c r="E460" t="s">
        <v>174</v>
      </c>
      <c r="F460" t="s">
        <v>174</v>
      </c>
      <c r="G460" t="s">
        <v>1</v>
      </c>
      <c r="H460" s="7" t="s">
        <v>137</v>
      </c>
      <c r="I460" s="14">
        <v>2006</v>
      </c>
      <c r="J460" t="s">
        <v>138</v>
      </c>
      <c r="K460" t="s">
        <v>472</v>
      </c>
      <c r="L460" t="s">
        <v>139</v>
      </c>
    </row>
    <row r="461" spans="1:12" x14ac:dyDescent="0.25">
      <c r="A461" t="s">
        <v>5</v>
      </c>
      <c r="B461" s="14" t="s">
        <v>7</v>
      </c>
      <c r="C461" t="s">
        <v>212</v>
      </c>
      <c r="D461" t="s">
        <v>5</v>
      </c>
      <c r="E461" t="s">
        <v>212</v>
      </c>
      <c r="F461" t="s">
        <v>212</v>
      </c>
      <c r="G461" t="s">
        <v>1</v>
      </c>
      <c r="H461" s="7" t="s">
        <v>137</v>
      </c>
      <c r="I461" s="14">
        <v>2006</v>
      </c>
      <c r="J461" t="s">
        <v>138</v>
      </c>
      <c r="K461" t="s">
        <v>472</v>
      </c>
      <c r="L461" t="s">
        <v>139</v>
      </c>
    </row>
    <row r="462" spans="1:12" x14ac:dyDescent="0.25">
      <c r="A462" t="s">
        <v>5</v>
      </c>
      <c r="B462" s="14" t="s">
        <v>50</v>
      </c>
      <c r="C462" t="s">
        <v>172</v>
      </c>
      <c r="D462" t="s">
        <v>5</v>
      </c>
      <c r="E462" t="s">
        <v>172</v>
      </c>
      <c r="F462" t="s">
        <v>172</v>
      </c>
      <c r="G462" t="s">
        <v>1</v>
      </c>
      <c r="H462" s="7" t="s">
        <v>137</v>
      </c>
      <c r="I462" s="14">
        <v>2006</v>
      </c>
      <c r="J462" t="s">
        <v>138</v>
      </c>
      <c r="K462" t="s">
        <v>472</v>
      </c>
      <c r="L462" t="s">
        <v>139</v>
      </c>
    </row>
    <row r="463" spans="1:12" x14ac:dyDescent="0.25">
      <c r="A463" t="s">
        <v>5</v>
      </c>
      <c r="B463" s="14" t="s">
        <v>5</v>
      </c>
      <c r="C463" t="s">
        <v>217</v>
      </c>
      <c r="D463" t="s">
        <v>5</v>
      </c>
      <c r="E463" t="s">
        <v>217</v>
      </c>
      <c r="F463" t="s">
        <v>217</v>
      </c>
      <c r="G463" t="s">
        <v>1</v>
      </c>
      <c r="H463" s="7" t="s">
        <v>137</v>
      </c>
      <c r="I463" s="14">
        <v>2006</v>
      </c>
      <c r="J463" t="s">
        <v>138</v>
      </c>
      <c r="K463" t="s">
        <v>472</v>
      </c>
      <c r="L463" t="s">
        <v>139</v>
      </c>
    </row>
    <row r="464" spans="1:12" x14ac:dyDescent="0.25">
      <c r="A464" t="s">
        <v>98</v>
      </c>
      <c r="B464" s="14" t="s">
        <v>111</v>
      </c>
      <c r="C464" t="s">
        <v>166</v>
      </c>
      <c r="D464" t="s">
        <v>98</v>
      </c>
      <c r="E464" t="s">
        <v>166</v>
      </c>
      <c r="F464" t="s">
        <v>166</v>
      </c>
      <c r="G464" t="s">
        <v>98</v>
      </c>
      <c r="H464" s="7" t="s">
        <v>137</v>
      </c>
      <c r="I464" s="14">
        <v>2006</v>
      </c>
      <c r="J464" t="s">
        <v>138</v>
      </c>
      <c r="K464" t="s">
        <v>472</v>
      </c>
      <c r="L464" t="s">
        <v>139</v>
      </c>
    </row>
    <row r="465" spans="1:12" x14ac:dyDescent="0.25">
      <c r="A465" t="s">
        <v>98</v>
      </c>
      <c r="B465" s="14" t="s">
        <v>98</v>
      </c>
      <c r="C465" t="s">
        <v>310</v>
      </c>
      <c r="D465" t="s">
        <v>98</v>
      </c>
      <c r="E465" t="s">
        <v>310</v>
      </c>
      <c r="F465" t="s">
        <v>310</v>
      </c>
      <c r="G465" t="s">
        <v>98</v>
      </c>
      <c r="H465" s="7" t="s">
        <v>137</v>
      </c>
      <c r="I465" s="14">
        <v>2006</v>
      </c>
      <c r="J465" t="s">
        <v>138</v>
      </c>
      <c r="K465" t="s">
        <v>472</v>
      </c>
      <c r="L465" t="s">
        <v>139</v>
      </c>
    </row>
    <row r="466" spans="1:12" x14ac:dyDescent="0.25">
      <c r="A466" t="s">
        <v>5</v>
      </c>
      <c r="B466" s="14" t="s">
        <v>50</v>
      </c>
      <c r="C466" t="s">
        <v>172</v>
      </c>
      <c r="D466" t="s">
        <v>5</v>
      </c>
      <c r="E466" t="s">
        <v>172</v>
      </c>
      <c r="F466" t="s">
        <v>172</v>
      </c>
      <c r="G466" t="s">
        <v>1</v>
      </c>
      <c r="H466" s="8" t="s">
        <v>140</v>
      </c>
      <c r="I466" s="14">
        <v>2021</v>
      </c>
      <c r="J466" t="s">
        <v>113</v>
      </c>
      <c r="K466" t="s">
        <v>168</v>
      </c>
      <c r="L466" t="s">
        <v>142</v>
      </c>
    </row>
    <row r="467" spans="1:12" x14ac:dyDescent="0.25">
      <c r="A467" t="s">
        <v>5</v>
      </c>
      <c r="B467" s="14" t="s">
        <v>50</v>
      </c>
      <c r="C467" t="s">
        <v>174</v>
      </c>
      <c r="D467" t="s">
        <v>5</v>
      </c>
      <c r="E467" t="s">
        <v>174</v>
      </c>
      <c r="F467" t="s">
        <v>174</v>
      </c>
      <c r="G467" t="s">
        <v>1</v>
      </c>
      <c r="H467" s="8" t="s">
        <v>140</v>
      </c>
      <c r="I467" s="14">
        <v>2021</v>
      </c>
      <c r="J467" t="s">
        <v>113</v>
      </c>
      <c r="K467" t="s">
        <v>168</v>
      </c>
      <c r="L467" t="s">
        <v>142</v>
      </c>
    </row>
    <row r="468" spans="1:12" x14ac:dyDescent="0.25">
      <c r="A468" t="s">
        <v>5</v>
      </c>
      <c r="B468" s="14" t="s">
        <v>38</v>
      </c>
      <c r="C468" t="s">
        <v>182</v>
      </c>
      <c r="D468" t="s">
        <v>5</v>
      </c>
      <c r="E468" t="s">
        <v>182</v>
      </c>
      <c r="F468" t="s">
        <v>182</v>
      </c>
      <c r="G468" t="s">
        <v>0</v>
      </c>
      <c r="H468" s="8" t="s">
        <v>140</v>
      </c>
      <c r="I468" s="14">
        <v>2021</v>
      </c>
      <c r="J468" t="s">
        <v>113</v>
      </c>
      <c r="K468" t="s">
        <v>168</v>
      </c>
      <c r="L468" t="s">
        <v>142</v>
      </c>
    </row>
    <row r="469" spans="1:12" x14ac:dyDescent="0.25">
      <c r="A469" t="s">
        <v>5</v>
      </c>
      <c r="B469" s="14" t="s">
        <v>45</v>
      </c>
      <c r="C469" t="s">
        <v>183</v>
      </c>
      <c r="D469" t="s">
        <v>5</v>
      </c>
      <c r="E469" t="s">
        <v>183</v>
      </c>
      <c r="F469" t="s">
        <v>183</v>
      </c>
      <c r="G469" t="s">
        <v>0</v>
      </c>
      <c r="H469" s="8" t="s">
        <v>140</v>
      </c>
      <c r="I469" s="14">
        <v>2021</v>
      </c>
      <c r="J469" t="s">
        <v>113</v>
      </c>
      <c r="K469" t="s">
        <v>168</v>
      </c>
      <c r="L469" t="s">
        <v>142</v>
      </c>
    </row>
    <row r="470" spans="1:12" x14ac:dyDescent="0.25">
      <c r="A470" t="s">
        <v>55</v>
      </c>
      <c r="B470" s="14" t="s">
        <v>56</v>
      </c>
      <c r="C470" t="s">
        <v>190</v>
      </c>
      <c r="D470" t="s">
        <v>55</v>
      </c>
      <c r="E470" t="s">
        <v>190</v>
      </c>
      <c r="F470" t="s">
        <v>190</v>
      </c>
      <c r="G470" t="s">
        <v>0</v>
      </c>
      <c r="H470" s="8" t="s">
        <v>140</v>
      </c>
      <c r="I470" s="14">
        <v>2021</v>
      </c>
      <c r="J470" t="s">
        <v>113</v>
      </c>
      <c r="K470" t="s">
        <v>168</v>
      </c>
      <c r="L470" t="s">
        <v>142</v>
      </c>
    </row>
    <row r="471" spans="1:12" x14ac:dyDescent="0.25">
      <c r="A471" t="s">
        <v>5</v>
      </c>
      <c r="B471" s="14" t="s">
        <v>38</v>
      </c>
      <c r="C471" t="s">
        <v>178</v>
      </c>
      <c r="D471" t="s">
        <v>5</v>
      </c>
      <c r="E471" t="s">
        <v>178</v>
      </c>
      <c r="F471" t="s">
        <v>178</v>
      </c>
      <c r="G471" t="s">
        <v>0</v>
      </c>
      <c r="H471" s="8" t="s">
        <v>140</v>
      </c>
      <c r="I471" s="14">
        <v>2021</v>
      </c>
      <c r="J471" t="s">
        <v>113</v>
      </c>
      <c r="K471" t="s">
        <v>168</v>
      </c>
      <c r="L471" t="s">
        <v>142</v>
      </c>
    </row>
    <row r="472" spans="1:12" x14ac:dyDescent="0.25">
      <c r="A472" t="s">
        <v>98</v>
      </c>
      <c r="B472" s="14" t="s">
        <v>111</v>
      </c>
      <c r="C472" t="s">
        <v>166</v>
      </c>
      <c r="D472" t="s">
        <v>98</v>
      </c>
      <c r="E472" t="s">
        <v>166</v>
      </c>
      <c r="F472" t="s">
        <v>166</v>
      </c>
      <c r="G472" t="s">
        <v>98</v>
      </c>
      <c r="H472" s="8" t="s">
        <v>140</v>
      </c>
      <c r="I472" s="14">
        <v>2021</v>
      </c>
      <c r="J472" t="s">
        <v>113</v>
      </c>
      <c r="K472" t="s">
        <v>168</v>
      </c>
      <c r="L472" t="s">
        <v>142</v>
      </c>
    </row>
    <row r="473" spans="1:12" x14ac:dyDescent="0.25">
      <c r="A473" t="s">
        <v>98</v>
      </c>
      <c r="B473" s="14" t="s">
        <v>98</v>
      </c>
      <c r="C473" t="s">
        <v>169</v>
      </c>
      <c r="D473" t="s">
        <v>98</v>
      </c>
      <c r="E473" t="s">
        <v>169</v>
      </c>
      <c r="F473" t="s">
        <v>169</v>
      </c>
      <c r="G473" t="s">
        <v>98</v>
      </c>
      <c r="H473" s="8" t="s">
        <v>140</v>
      </c>
      <c r="I473" s="14">
        <v>2021</v>
      </c>
      <c r="J473" t="s">
        <v>113</v>
      </c>
      <c r="K473" t="s">
        <v>168</v>
      </c>
      <c r="L473" t="s">
        <v>142</v>
      </c>
    </row>
    <row r="474" spans="1:12" x14ac:dyDescent="0.25">
      <c r="A474" t="s">
        <v>5</v>
      </c>
      <c r="B474" s="14" t="s">
        <v>50</v>
      </c>
      <c r="C474" t="s">
        <v>174</v>
      </c>
      <c r="D474" t="s">
        <v>5</v>
      </c>
      <c r="E474" t="s">
        <v>174</v>
      </c>
      <c r="F474" t="s">
        <v>174</v>
      </c>
      <c r="G474" t="s">
        <v>1</v>
      </c>
      <c r="H474" s="9" t="s">
        <v>143</v>
      </c>
      <c r="I474" s="14">
        <v>2021</v>
      </c>
      <c r="J474" t="s">
        <v>144</v>
      </c>
      <c r="K474" t="s">
        <v>168</v>
      </c>
      <c r="L474" t="s">
        <v>145</v>
      </c>
    </row>
    <row r="475" spans="1:12" x14ac:dyDescent="0.25">
      <c r="A475" t="s">
        <v>5</v>
      </c>
      <c r="B475" s="14" t="s">
        <v>50</v>
      </c>
      <c r="C475" t="s">
        <v>173</v>
      </c>
      <c r="D475" t="s">
        <v>5</v>
      </c>
      <c r="E475" t="s">
        <v>173</v>
      </c>
      <c r="F475" t="s">
        <v>173</v>
      </c>
      <c r="G475" t="s">
        <v>1</v>
      </c>
      <c r="H475" s="9" t="s">
        <v>143</v>
      </c>
      <c r="I475" s="14">
        <v>2021</v>
      </c>
      <c r="J475" t="s">
        <v>144</v>
      </c>
      <c r="K475" t="s">
        <v>168</v>
      </c>
      <c r="L475" t="s">
        <v>145</v>
      </c>
    </row>
    <row r="476" spans="1:12" x14ac:dyDescent="0.25">
      <c r="A476" t="s">
        <v>5</v>
      </c>
      <c r="B476" s="14" t="s">
        <v>50</v>
      </c>
      <c r="C476" t="s">
        <v>441</v>
      </c>
      <c r="D476" t="s">
        <v>5</v>
      </c>
      <c r="E476" t="s">
        <v>441</v>
      </c>
      <c r="F476" t="s">
        <v>441</v>
      </c>
      <c r="G476" t="s">
        <v>1</v>
      </c>
      <c r="H476" s="9" t="s">
        <v>143</v>
      </c>
      <c r="I476" s="14">
        <v>2021</v>
      </c>
      <c r="J476" t="s">
        <v>144</v>
      </c>
      <c r="K476" t="s">
        <v>168</v>
      </c>
      <c r="L476" t="s">
        <v>145</v>
      </c>
    </row>
    <row r="477" spans="1:12" x14ac:dyDescent="0.25">
      <c r="A477" t="s">
        <v>5</v>
      </c>
      <c r="B477" s="14" t="s">
        <v>50</v>
      </c>
      <c r="C477" t="s">
        <v>435</v>
      </c>
      <c r="D477" t="s">
        <v>5</v>
      </c>
      <c r="E477" t="s">
        <v>435</v>
      </c>
      <c r="F477" t="s">
        <v>435</v>
      </c>
      <c r="G477" t="s">
        <v>1</v>
      </c>
      <c r="H477" s="9" t="s">
        <v>143</v>
      </c>
      <c r="I477" s="14">
        <v>2021</v>
      </c>
      <c r="J477" t="s">
        <v>144</v>
      </c>
      <c r="K477" t="s">
        <v>168</v>
      </c>
      <c r="L477" t="s">
        <v>145</v>
      </c>
    </row>
    <row r="478" spans="1:12" x14ac:dyDescent="0.25">
      <c r="A478" t="s">
        <v>5</v>
      </c>
      <c r="B478" s="14" t="s">
        <v>50</v>
      </c>
      <c r="C478" t="s">
        <v>436</v>
      </c>
      <c r="D478" t="s">
        <v>5</v>
      </c>
      <c r="E478" t="s">
        <v>436</v>
      </c>
      <c r="F478" t="s">
        <v>436</v>
      </c>
      <c r="G478" t="s">
        <v>1</v>
      </c>
      <c r="H478" s="9" t="s">
        <v>143</v>
      </c>
      <c r="I478" s="14">
        <v>2021</v>
      </c>
      <c r="J478" t="s">
        <v>144</v>
      </c>
      <c r="K478" t="s">
        <v>168</v>
      </c>
      <c r="L478" t="s">
        <v>145</v>
      </c>
    </row>
    <row r="479" spans="1:12" x14ac:dyDescent="0.25">
      <c r="A479" t="s">
        <v>5</v>
      </c>
      <c r="B479" s="14" t="s">
        <v>50</v>
      </c>
      <c r="C479" t="s">
        <v>172</v>
      </c>
      <c r="D479" t="s">
        <v>5</v>
      </c>
      <c r="E479" t="s">
        <v>172</v>
      </c>
      <c r="F479" t="s">
        <v>172</v>
      </c>
      <c r="G479" t="s">
        <v>1</v>
      </c>
      <c r="H479" s="9" t="s">
        <v>143</v>
      </c>
      <c r="I479" s="14">
        <v>2021</v>
      </c>
      <c r="J479" t="s">
        <v>144</v>
      </c>
      <c r="K479" t="s">
        <v>168</v>
      </c>
      <c r="L479" t="s">
        <v>145</v>
      </c>
    </row>
    <row r="480" spans="1:12" x14ac:dyDescent="0.25">
      <c r="A480" t="s">
        <v>5</v>
      </c>
      <c r="B480" s="14" t="s">
        <v>50</v>
      </c>
      <c r="C480" t="s">
        <v>234</v>
      </c>
      <c r="D480" t="s">
        <v>5</v>
      </c>
      <c r="E480" t="s">
        <v>234</v>
      </c>
      <c r="F480" t="s">
        <v>234</v>
      </c>
      <c r="G480" t="s">
        <v>1</v>
      </c>
      <c r="H480" s="9" t="s">
        <v>143</v>
      </c>
      <c r="I480" s="14">
        <v>2021</v>
      </c>
      <c r="J480" t="s">
        <v>144</v>
      </c>
      <c r="K480" t="s">
        <v>168</v>
      </c>
      <c r="L480" t="s">
        <v>145</v>
      </c>
    </row>
    <row r="481" spans="1:12" x14ac:dyDescent="0.25">
      <c r="A481" t="s">
        <v>52</v>
      </c>
      <c r="B481" s="14" t="s">
        <v>52</v>
      </c>
      <c r="C481" t="s">
        <v>171</v>
      </c>
      <c r="D481" t="s">
        <v>52</v>
      </c>
      <c r="E481" t="s">
        <v>171</v>
      </c>
      <c r="F481" t="s">
        <v>171</v>
      </c>
      <c r="G481" t="s">
        <v>1</v>
      </c>
      <c r="H481" s="9" t="s">
        <v>143</v>
      </c>
      <c r="I481" s="14">
        <v>2021</v>
      </c>
      <c r="J481" t="s">
        <v>144</v>
      </c>
      <c r="K481" t="s">
        <v>168</v>
      </c>
      <c r="L481" t="s">
        <v>145</v>
      </c>
    </row>
    <row r="482" spans="1:12" x14ac:dyDescent="0.25">
      <c r="A482" t="s">
        <v>5</v>
      </c>
      <c r="B482" s="14" t="s">
        <v>7</v>
      </c>
      <c r="C482" t="s">
        <v>212</v>
      </c>
      <c r="D482" t="s">
        <v>5</v>
      </c>
      <c r="E482" t="s">
        <v>212</v>
      </c>
      <c r="F482" t="s">
        <v>212</v>
      </c>
      <c r="G482" t="s">
        <v>1</v>
      </c>
      <c r="H482" s="9" t="s">
        <v>143</v>
      </c>
      <c r="I482" s="14">
        <v>2021</v>
      </c>
      <c r="J482" t="s">
        <v>144</v>
      </c>
      <c r="K482" t="s">
        <v>168</v>
      </c>
      <c r="L482" t="s">
        <v>145</v>
      </c>
    </row>
    <row r="483" spans="1:12" x14ac:dyDescent="0.25">
      <c r="A483" t="s">
        <v>5</v>
      </c>
      <c r="B483" s="14" t="s">
        <v>11</v>
      </c>
      <c r="C483" t="s">
        <v>222</v>
      </c>
      <c r="D483" t="s">
        <v>5</v>
      </c>
      <c r="E483" t="s">
        <v>473</v>
      </c>
      <c r="F483" t="s">
        <v>222</v>
      </c>
      <c r="G483" t="s">
        <v>1</v>
      </c>
      <c r="H483" s="9" t="s">
        <v>143</v>
      </c>
      <c r="I483" s="14">
        <v>2021</v>
      </c>
      <c r="J483" t="s">
        <v>144</v>
      </c>
      <c r="K483" t="s">
        <v>168</v>
      </c>
      <c r="L483" t="s">
        <v>145</v>
      </c>
    </row>
    <row r="484" spans="1:12" x14ac:dyDescent="0.25">
      <c r="A484" t="s">
        <v>5</v>
      </c>
      <c r="B484" s="14" t="s">
        <v>16</v>
      </c>
      <c r="C484" t="s">
        <v>230</v>
      </c>
      <c r="D484" t="s">
        <v>5</v>
      </c>
      <c r="E484" t="s">
        <v>230</v>
      </c>
      <c r="F484" t="s">
        <v>230</v>
      </c>
      <c r="G484" t="s">
        <v>1</v>
      </c>
      <c r="H484" s="9" t="s">
        <v>143</v>
      </c>
      <c r="I484" s="14">
        <v>2021</v>
      </c>
      <c r="J484" t="s">
        <v>144</v>
      </c>
      <c r="K484" t="s">
        <v>168</v>
      </c>
      <c r="L484" t="s">
        <v>145</v>
      </c>
    </row>
    <row r="485" spans="1:12" x14ac:dyDescent="0.25">
      <c r="A485" t="s">
        <v>5</v>
      </c>
      <c r="B485" s="14" t="s">
        <v>16</v>
      </c>
      <c r="C485" t="s">
        <v>229</v>
      </c>
      <c r="D485" t="s">
        <v>5</v>
      </c>
      <c r="E485" t="s">
        <v>229</v>
      </c>
      <c r="F485" t="s">
        <v>229</v>
      </c>
      <c r="G485" t="s">
        <v>1</v>
      </c>
      <c r="H485" s="9" t="s">
        <v>143</v>
      </c>
      <c r="I485" s="14">
        <v>2021</v>
      </c>
      <c r="J485" t="s">
        <v>144</v>
      </c>
      <c r="K485" t="s">
        <v>168</v>
      </c>
      <c r="L485" t="s">
        <v>145</v>
      </c>
    </row>
    <row r="486" spans="1:12" x14ac:dyDescent="0.25">
      <c r="A486" t="s">
        <v>5</v>
      </c>
      <c r="B486" s="14" t="s">
        <v>48</v>
      </c>
      <c r="C486" t="s">
        <v>429</v>
      </c>
      <c r="D486" t="s">
        <v>5</v>
      </c>
      <c r="E486" t="s">
        <v>429</v>
      </c>
      <c r="F486" t="s">
        <v>429</v>
      </c>
      <c r="G486" t="s">
        <v>1</v>
      </c>
      <c r="H486" s="9" t="s">
        <v>143</v>
      </c>
      <c r="I486" s="14">
        <v>2021</v>
      </c>
      <c r="J486" t="s">
        <v>144</v>
      </c>
      <c r="K486" t="s">
        <v>168</v>
      </c>
      <c r="L486" t="s">
        <v>145</v>
      </c>
    </row>
    <row r="487" spans="1:12" x14ac:dyDescent="0.25">
      <c r="A487" t="s">
        <v>5</v>
      </c>
      <c r="B487" s="14" t="s">
        <v>51</v>
      </c>
      <c r="C487" t="s">
        <v>322</v>
      </c>
      <c r="D487" t="s">
        <v>5</v>
      </c>
      <c r="E487" t="s">
        <v>322</v>
      </c>
      <c r="F487" t="s">
        <v>322</v>
      </c>
      <c r="G487" t="s">
        <v>0</v>
      </c>
      <c r="H487" s="9" t="s">
        <v>143</v>
      </c>
      <c r="I487" s="14">
        <v>2021</v>
      </c>
      <c r="J487" t="s">
        <v>144</v>
      </c>
      <c r="K487" t="s">
        <v>168</v>
      </c>
      <c r="L487" t="s">
        <v>145</v>
      </c>
    </row>
    <row r="488" spans="1:12" x14ac:dyDescent="0.25">
      <c r="A488" t="s">
        <v>5</v>
      </c>
      <c r="B488" s="14" t="s">
        <v>51</v>
      </c>
      <c r="C488" t="s">
        <v>323</v>
      </c>
      <c r="D488" t="s">
        <v>5</v>
      </c>
      <c r="E488" t="s">
        <v>323</v>
      </c>
      <c r="F488" t="s">
        <v>323</v>
      </c>
      <c r="G488" t="s">
        <v>0</v>
      </c>
      <c r="H488" s="9" t="s">
        <v>143</v>
      </c>
      <c r="I488" s="14">
        <v>2021</v>
      </c>
      <c r="J488" t="s">
        <v>144</v>
      </c>
      <c r="K488" t="s">
        <v>168</v>
      </c>
      <c r="L488" t="s">
        <v>145</v>
      </c>
    </row>
    <row r="489" spans="1:12" x14ac:dyDescent="0.25">
      <c r="A489" t="s">
        <v>5</v>
      </c>
      <c r="B489" s="14" t="s">
        <v>44</v>
      </c>
      <c r="C489" t="s">
        <v>197</v>
      </c>
      <c r="D489" t="s">
        <v>5</v>
      </c>
      <c r="E489" t="s">
        <v>197</v>
      </c>
      <c r="F489" t="s">
        <v>197</v>
      </c>
      <c r="G489" t="s">
        <v>0</v>
      </c>
      <c r="H489" s="9" t="s">
        <v>143</v>
      </c>
      <c r="I489" s="14">
        <v>2021</v>
      </c>
      <c r="J489" t="s">
        <v>144</v>
      </c>
      <c r="K489" t="s">
        <v>168</v>
      </c>
      <c r="L489" t="s">
        <v>145</v>
      </c>
    </row>
    <row r="490" spans="1:12" x14ac:dyDescent="0.25">
      <c r="A490" t="s">
        <v>5</v>
      </c>
      <c r="B490" s="14" t="s">
        <v>28</v>
      </c>
      <c r="C490" t="s">
        <v>188</v>
      </c>
      <c r="D490" t="s">
        <v>5</v>
      </c>
      <c r="E490" t="s">
        <v>188</v>
      </c>
      <c r="F490" t="s">
        <v>188</v>
      </c>
      <c r="G490" t="s">
        <v>0</v>
      </c>
      <c r="H490" s="9" t="s">
        <v>143</v>
      </c>
      <c r="I490" s="14">
        <v>2021</v>
      </c>
      <c r="J490" t="s">
        <v>144</v>
      </c>
      <c r="K490" t="s">
        <v>168</v>
      </c>
      <c r="L490" t="s">
        <v>145</v>
      </c>
    </row>
    <row r="491" spans="1:12" x14ac:dyDescent="0.25">
      <c r="A491" t="s">
        <v>5</v>
      </c>
      <c r="B491" s="14" t="s">
        <v>28</v>
      </c>
      <c r="C491" t="s">
        <v>270</v>
      </c>
      <c r="D491" t="s">
        <v>5</v>
      </c>
      <c r="E491" t="s">
        <v>270</v>
      </c>
      <c r="F491" t="s">
        <v>270</v>
      </c>
      <c r="G491" t="s">
        <v>0</v>
      </c>
      <c r="H491" s="9" t="s">
        <v>143</v>
      </c>
      <c r="I491" s="14">
        <v>2021</v>
      </c>
      <c r="J491" t="s">
        <v>144</v>
      </c>
      <c r="K491" t="s">
        <v>168</v>
      </c>
      <c r="L491" t="s">
        <v>145</v>
      </c>
    </row>
    <row r="492" spans="1:12" x14ac:dyDescent="0.25">
      <c r="A492" t="s">
        <v>5</v>
      </c>
      <c r="B492" s="14" t="s">
        <v>45</v>
      </c>
      <c r="C492" t="s">
        <v>183</v>
      </c>
      <c r="D492" t="s">
        <v>5</v>
      </c>
      <c r="E492" t="s">
        <v>183</v>
      </c>
      <c r="F492" t="s">
        <v>183</v>
      </c>
      <c r="G492" t="s">
        <v>0</v>
      </c>
      <c r="H492" s="9" t="s">
        <v>143</v>
      </c>
      <c r="I492" s="14">
        <v>2021</v>
      </c>
      <c r="J492" t="s">
        <v>144</v>
      </c>
      <c r="K492" t="s">
        <v>168</v>
      </c>
      <c r="L492" t="s">
        <v>145</v>
      </c>
    </row>
    <row r="493" spans="1:12" x14ac:dyDescent="0.25">
      <c r="A493" t="s">
        <v>55</v>
      </c>
      <c r="B493" s="14" t="s">
        <v>55</v>
      </c>
      <c r="C493" t="s">
        <v>193</v>
      </c>
      <c r="D493" t="s">
        <v>55</v>
      </c>
      <c r="E493" t="s">
        <v>193</v>
      </c>
      <c r="F493" t="s">
        <v>193</v>
      </c>
      <c r="G493" t="s">
        <v>0</v>
      </c>
      <c r="H493" s="9" t="s">
        <v>143</v>
      </c>
      <c r="I493" s="14">
        <v>2021</v>
      </c>
      <c r="J493" t="s">
        <v>144</v>
      </c>
      <c r="K493" t="s">
        <v>168</v>
      </c>
      <c r="L493" t="s">
        <v>145</v>
      </c>
    </row>
    <row r="494" spans="1:12" x14ac:dyDescent="0.25">
      <c r="A494" t="s">
        <v>5</v>
      </c>
      <c r="B494" s="14" t="s">
        <v>38</v>
      </c>
      <c r="C494" t="s">
        <v>179</v>
      </c>
      <c r="D494" t="s">
        <v>5</v>
      </c>
      <c r="E494" t="s">
        <v>179</v>
      </c>
      <c r="F494" t="s">
        <v>179</v>
      </c>
      <c r="G494" t="s">
        <v>0</v>
      </c>
      <c r="H494" s="9" t="s">
        <v>143</v>
      </c>
      <c r="I494" s="14">
        <v>2021</v>
      </c>
      <c r="J494" t="s">
        <v>144</v>
      </c>
      <c r="K494" t="s">
        <v>168</v>
      </c>
      <c r="L494" t="s">
        <v>145</v>
      </c>
    </row>
    <row r="495" spans="1:12" x14ac:dyDescent="0.25">
      <c r="A495" t="s">
        <v>5</v>
      </c>
      <c r="B495" s="14" t="s">
        <v>38</v>
      </c>
      <c r="C495" t="s">
        <v>204</v>
      </c>
      <c r="D495" t="s">
        <v>5</v>
      </c>
      <c r="E495" t="s">
        <v>204</v>
      </c>
      <c r="F495" t="s">
        <v>204</v>
      </c>
      <c r="G495" t="s">
        <v>0</v>
      </c>
      <c r="H495" s="9" t="s">
        <v>143</v>
      </c>
      <c r="I495" s="14">
        <v>2021</v>
      </c>
      <c r="J495" t="s">
        <v>144</v>
      </c>
      <c r="K495" t="s">
        <v>168</v>
      </c>
      <c r="L495" t="s">
        <v>145</v>
      </c>
    </row>
    <row r="496" spans="1:12" x14ac:dyDescent="0.25">
      <c r="A496" t="s">
        <v>5</v>
      </c>
      <c r="B496" s="14" t="s">
        <v>38</v>
      </c>
      <c r="C496" t="s">
        <v>266</v>
      </c>
      <c r="D496" t="s">
        <v>5</v>
      </c>
      <c r="E496" t="s">
        <v>266</v>
      </c>
      <c r="F496" t="s">
        <v>266</v>
      </c>
      <c r="G496" t="s">
        <v>0</v>
      </c>
      <c r="H496" s="9" t="s">
        <v>143</v>
      </c>
      <c r="I496" s="14">
        <v>2021</v>
      </c>
      <c r="J496" t="s">
        <v>144</v>
      </c>
      <c r="K496" t="s">
        <v>168</v>
      </c>
      <c r="L496" t="s">
        <v>145</v>
      </c>
    </row>
    <row r="497" spans="1:12" x14ac:dyDescent="0.25">
      <c r="A497" t="s">
        <v>5</v>
      </c>
      <c r="B497" s="14" t="s">
        <v>38</v>
      </c>
      <c r="C497" t="s">
        <v>178</v>
      </c>
      <c r="D497" t="s">
        <v>5</v>
      </c>
      <c r="E497" t="s">
        <v>178</v>
      </c>
      <c r="F497" t="s">
        <v>178</v>
      </c>
      <c r="G497" t="s">
        <v>0</v>
      </c>
      <c r="H497" s="9" t="s">
        <v>143</v>
      </c>
      <c r="I497" s="14">
        <v>2021</v>
      </c>
      <c r="J497" t="s">
        <v>144</v>
      </c>
      <c r="K497" t="s">
        <v>168</v>
      </c>
      <c r="L497" t="s">
        <v>145</v>
      </c>
    </row>
    <row r="498" spans="1:12" x14ac:dyDescent="0.25">
      <c r="A498" t="s">
        <v>98</v>
      </c>
      <c r="B498" s="14" t="s">
        <v>111</v>
      </c>
      <c r="C498" t="s">
        <v>166</v>
      </c>
      <c r="D498" t="s">
        <v>98</v>
      </c>
      <c r="E498" t="s">
        <v>166</v>
      </c>
      <c r="F498" t="s">
        <v>166</v>
      </c>
      <c r="G498" t="s">
        <v>98</v>
      </c>
      <c r="H498" s="9" t="s">
        <v>143</v>
      </c>
      <c r="I498" s="14">
        <v>2021</v>
      </c>
      <c r="J498" t="s">
        <v>144</v>
      </c>
      <c r="K498" t="s">
        <v>168</v>
      </c>
      <c r="L498" t="s">
        <v>145</v>
      </c>
    </row>
    <row r="499" spans="1:12" x14ac:dyDescent="0.25">
      <c r="A499" t="s">
        <v>98</v>
      </c>
      <c r="B499" s="14" t="s">
        <v>98</v>
      </c>
      <c r="C499" t="s">
        <v>309</v>
      </c>
      <c r="D499" t="s">
        <v>98</v>
      </c>
      <c r="E499" t="s">
        <v>309</v>
      </c>
      <c r="F499" t="s">
        <v>309</v>
      </c>
      <c r="G499" t="s">
        <v>98</v>
      </c>
      <c r="H499" s="9" t="s">
        <v>143</v>
      </c>
      <c r="I499" s="14">
        <v>2021</v>
      </c>
      <c r="J499" t="s">
        <v>144</v>
      </c>
      <c r="K499" t="s">
        <v>168</v>
      </c>
      <c r="L499" t="s">
        <v>145</v>
      </c>
    </row>
    <row r="500" spans="1:12" x14ac:dyDescent="0.25">
      <c r="A500" t="s">
        <v>5</v>
      </c>
      <c r="B500" s="14" t="s">
        <v>50</v>
      </c>
      <c r="C500" t="s">
        <v>174</v>
      </c>
      <c r="D500" t="s">
        <v>5</v>
      </c>
      <c r="E500" t="s">
        <v>174</v>
      </c>
      <c r="F500" t="s">
        <v>174</v>
      </c>
      <c r="G500" t="s">
        <v>1</v>
      </c>
      <c r="H500" s="10" t="s">
        <v>146</v>
      </c>
      <c r="I500" s="14">
        <v>2006</v>
      </c>
      <c r="J500" t="s">
        <v>147</v>
      </c>
      <c r="K500" t="s">
        <v>474</v>
      </c>
      <c r="L500" t="s">
        <v>148</v>
      </c>
    </row>
    <row r="501" spans="1:12" x14ac:dyDescent="0.25">
      <c r="A501" t="s">
        <v>5</v>
      </c>
      <c r="B501" s="14" t="s">
        <v>50</v>
      </c>
      <c r="C501" t="s">
        <v>173</v>
      </c>
      <c r="D501" t="s">
        <v>5</v>
      </c>
      <c r="E501" t="s">
        <v>173</v>
      </c>
      <c r="F501" t="s">
        <v>173</v>
      </c>
      <c r="G501" t="s">
        <v>1</v>
      </c>
      <c r="H501" s="10" t="s">
        <v>146</v>
      </c>
      <c r="I501" s="14">
        <v>2006</v>
      </c>
      <c r="J501" t="s">
        <v>147</v>
      </c>
      <c r="K501" t="s">
        <v>474</v>
      </c>
      <c r="L501" t="s">
        <v>148</v>
      </c>
    </row>
    <row r="502" spans="1:12" x14ac:dyDescent="0.25">
      <c r="A502" t="s">
        <v>5</v>
      </c>
      <c r="B502" s="14" t="s">
        <v>50</v>
      </c>
      <c r="C502" t="s">
        <v>435</v>
      </c>
      <c r="D502" t="s">
        <v>5</v>
      </c>
      <c r="E502" t="s">
        <v>435</v>
      </c>
      <c r="F502" t="s">
        <v>435</v>
      </c>
      <c r="G502" t="s">
        <v>1</v>
      </c>
      <c r="H502" s="10" t="s">
        <v>146</v>
      </c>
      <c r="I502" s="14">
        <v>2006</v>
      </c>
      <c r="J502" t="s">
        <v>147</v>
      </c>
      <c r="K502" t="s">
        <v>474</v>
      </c>
      <c r="L502" t="s">
        <v>148</v>
      </c>
    </row>
    <row r="503" spans="1:12" x14ac:dyDescent="0.25">
      <c r="A503" t="s">
        <v>5</v>
      </c>
      <c r="B503" s="14" t="s">
        <v>50</v>
      </c>
      <c r="C503" t="s">
        <v>436</v>
      </c>
      <c r="D503" t="s">
        <v>5</v>
      </c>
      <c r="E503" t="s">
        <v>436</v>
      </c>
      <c r="F503" t="s">
        <v>436</v>
      </c>
      <c r="G503" t="s">
        <v>1</v>
      </c>
      <c r="H503" s="10" t="s">
        <v>146</v>
      </c>
      <c r="I503" s="14">
        <v>2006</v>
      </c>
      <c r="J503" t="s">
        <v>147</v>
      </c>
      <c r="K503" t="s">
        <v>474</v>
      </c>
      <c r="L503" t="s">
        <v>148</v>
      </c>
    </row>
    <row r="504" spans="1:12" x14ac:dyDescent="0.25">
      <c r="A504" t="s">
        <v>5</v>
      </c>
      <c r="B504" s="14" t="s">
        <v>50</v>
      </c>
      <c r="C504" t="s">
        <v>232</v>
      </c>
      <c r="D504" t="s">
        <v>5</v>
      </c>
      <c r="E504" t="s">
        <v>232</v>
      </c>
      <c r="F504" t="s">
        <v>232</v>
      </c>
      <c r="G504" t="s">
        <v>1</v>
      </c>
      <c r="H504" s="10" t="s">
        <v>146</v>
      </c>
      <c r="I504" s="14">
        <v>2006</v>
      </c>
      <c r="J504" t="s">
        <v>147</v>
      </c>
      <c r="K504" t="s">
        <v>474</v>
      </c>
      <c r="L504" t="s">
        <v>148</v>
      </c>
    </row>
    <row r="505" spans="1:12" x14ac:dyDescent="0.25">
      <c r="A505" t="s">
        <v>5</v>
      </c>
      <c r="B505" s="14" t="s">
        <v>50</v>
      </c>
      <c r="C505" t="s">
        <v>434</v>
      </c>
      <c r="D505" t="s">
        <v>5</v>
      </c>
      <c r="E505" t="s">
        <v>434</v>
      </c>
      <c r="F505" t="s">
        <v>434</v>
      </c>
      <c r="G505" t="s">
        <v>1</v>
      </c>
      <c r="H505" s="10" t="s">
        <v>146</v>
      </c>
      <c r="I505" s="14">
        <v>2006</v>
      </c>
      <c r="J505" t="s">
        <v>147</v>
      </c>
      <c r="K505" t="s">
        <v>474</v>
      </c>
      <c r="L505" t="s">
        <v>148</v>
      </c>
    </row>
    <row r="506" spans="1:12" x14ac:dyDescent="0.25">
      <c r="A506" t="s">
        <v>5</v>
      </c>
      <c r="B506" s="14" t="s">
        <v>50</v>
      </c>
      <c r="C506" t="s">
        <v>433</v>
      </c>
      <c r="D506" t="s">
        <v>5</v>
      </c>
      <c r="E506" t="s">
        <v>433</v>
      </c>
      <c r="F506" t="s">
        <v>433</v>
      </c>
      <c r="G506" t="s">
        <v>1</v>
      </c>
      <c r="H506" s="10" t="s">
        <v>146</v>
      </c>
      <c r="I506" s="14">
        <v>2006</v>
      </c>
      <c r="J506" t="s">
        <v>147</v>
      </c>
      <c r="K506" t="s">
        <v>474</v>
      </c>
      <c r="L506" t="s">
        <v>148</v>
      </c>
    </row>
    <row r="507" spans="1:12" x14ac:dyDescent="0.25">
      <c r="A507" t="s">
        <v>5</v>
      </c>
      <c r="B507" s="14" t="s">
        <v>50</v>
      </c>
      <c r="C507" t="s">
        <v>439</v>
      </c>
      <c r="D507" t="s">
        <v>5</v>
      </c>
      <c r="E507" t="s">
        <v>439</v>
      </c>
      <c r="F507" t="s">
        <v>439</v>
      </c>
      <c r="G507" t="s">
        <v>1</v>
      </c>
      <c r="H507" s="10" t="s">
        <v>146</v>
      </c>
      <c r="I507" s="14">
        <v>2006</v>
      </c>
      <c r="J507" t="s">
        <v>147</v>
      </c>
      <c r="K507" t="s">
        <v>474</v>
      </c>
      <c r="L507" t="s">
        <v>148</v>
      </c>
    </row>
    <row r="508" spans="1:12" x14ac:dyDescent="0.25">
      <c r="A508" t="s">
        <v>5</v>
      </c>
      <c r="B508" s="14" t="s">
        <v>50</v>
      </c>
      <c r="C508" t="s">
        <v>445</v>
      </c>
      <c r="D508" t="s">
        <v>5</v>
      </c>
      <c r="E508" t="s">
        <v>445</v>
      </c>
      <c r="F508" t="s">
        <v>445</v>
      </c>
      <c r="G508" t="s">
        <v>1</v>
      </c>
      <c r="H508" s="10" t="s">
        <v>146</v>
      </c>
      <c r="I508" s="14">
        <v>2006</v>
      </c>
      <c r="J508" t="s">
        <v>147</v>
      </c>
      <c r="K508" t="s">
        <v>474</v>
      </c>
      <c r="L508" t="s">
        <v>148</v>
      </c>
    </row>
    <row r="509" spans="1:12" x14ac:dyDescent="0.25">
      <c r="A509" t="s">
        <v>5</v>
      </c>
      <c r="B509" s="14" t="s">
        <v>50</v>
      </c>
      <c r="C509" t="s">
        <v>172</v>
      </c>
      <c r="D509" t="s">
        <v>5</v>
      </c>
      <c r="E509" t="s">
        <v>172</v>
      </c>
      <c r="F509" t="s">
        <v>172</v>
      </c>
      <c r="G509" t="s">
        <v>1</v>
      </c>
      <c r="H509" s="10" t="s">
        <v>146</v>
      </c>
      <c r="I509" s="14">
        <v>2006</v>
      </c>
      <c r="J509" t="s">
        <v>147</v>
      </c>
      <c r="K509" t="s">
        <v>474</v>
      </c>
      <c r="L509" t="s">
        <v>148</v>
      </c>
    </row>
    <row r="510" spans="1:12" x14ac:dyDescent="0.25">
      <c r="A510" t="s">
        <v>5</v>
      </c>
      <c r="B510" s="14" t="s">
        <v>50</v>
      </c>
      <c r="C510" t="s">
        <v>453</v>
      </c>
      <c r="D510" t="s">
        <v>5</v>
      </c>
      <c r="E510" t="s">
        <v>453</v>
      </c>
      <c r="F510" t="s">
        <v>453</v>
      </c>
      <c r="G510" t="s">
        <v>1</v>
      </c>
      <c r="H510" s="10" t="s">
        <v>146</v>
      </c>
      <c r="I510" s="14">
        <v>2006</v>
      </c>
      <c r="J510" t="s">
        <v>147</v>
      </c>
      <c r="K510" t="s">
        <v>474</v>
      </c>
      <c r="L510" t="s">
        <v>148</v>
      </c>
    </row>
    <row r="511" spans="1:12" x14ac:dyDescent="0.25">
      <c r="A511" t="s">
        <v>5</v>
      </c>
      <c r="B511" s="14" t="s">
        <v>28</v>
      </c>
      <c r="C511" t="s">
        <v>270</v>
      </c>
      <c r="D511" t="s">
        <v>5</v>
      </c>
      <c r="E511" t="s">
        <v>270</v>
      </c>
      <c r="F511" t="s">
        <v>270</v>
      </c>
      <c r="G511" t="s">
        <v>0</v>
      </c>
      <c r="H511" s="10" t="s">
        <v>146</v>
      </c>
      <c r="I511" s="14">
        <v>2006</v>
      </c>
      <c r="J511" t="s">
        <v>147</v>
      </c>
      <c r="K511" t="s">
        <v>474</v>
      </c>
      <c r="L511" t="s">
        <v>148</v>
      </c>
    </row>
    <row r="512" spans="1:12" x14ac:dyDescent="0.25">
      <c r="A512" t="s">
        <v>5</v>
      </c>
      <c r="B512" s="14" t="s">
        <v>18</v>
      </c>
      <c r="C512" t="s">
        <v>383</v>
      </c>
      <c r="D512" t="s">
        <v>5</v>
      </c>
      <c r="E512" t="s">
        <v>383</v>
      </c>
      <c r="F512" t="s">
        <v>383</v>
      </c>
      <c r="G512" t="s">
        <v>0</v>
      </c>
      <c r="H512" s="10" t="s">
        <v>146</v>
      </c>
      <c r="I512" s="14">
        <v>2006</v>
      </c>
      <c r="J512" t="s">
        <v>147</v>
      </c>
      <c r="K512" t="s">
        <v>474</v>
      </c>
      <c r="L512" t="s">
        <v>148</v>
      </c>
    </row>
    <row r="513" spans="1:13" x14ac:dyDescent="0.25">
      <c r="A513" t="s">
        <v>5</v>
      </c>
      <c r="B513" s="14" t="s">
        <v>5</v>
      </c>
      <c r="C513" t="s">
        <v>398</v>
      </c>
      <c r="D513" t="s">
        <v>5</v>
      </c>
      <c r="E513" t="s">
        <v>398</v>
      </c>
      <c r="F513" t="s">
        <v>398</v>
      </c>
      <c r="G513" t="s">
        <v>0</v>
      </c>
      <c r="H513" s="10" t="s">
        <v>146</v>
      </c>
      <c r="I513" s="14">
        <v>2006</v>
      </c>
      <c r="J513" t="s">
        <v>147</v>
      </c>
      <c r="K513" t="s">
        <v>474</v>
      </c>
      <c r="L513" t="s">
        <v>148</v>
      </c>
      <c r="M513" t="s">
        <v>149</v>
      </c>
    </row>
    <row r="514" spans="1:13" x14ac:dyDescent="0.25">
      <c r="A514" t="s">
        <v>5</v>
      </c>
      <c r="B514" s="14" t="s">
        <v>50</v>
      </c>
      <c r="C514" t="s">
        <v>174</v>
      </c>
      <c r="D514" t="s">
        <v>5</v>
      </c>
      <c r="E514" t="s">
        <v>174</v>
      </c>
      <c r="F514" t="s">
        <v>174</v>
      </c>
      <c r="G514" t="s">
        <v>1</v>
      </c>
      <c r="H514" s="11" t="s">
        <v>150</v>
      </c>
      <c r="I514" s="14">
        <v>2022</v>
      </c>
      <c r="J514" t="s">
        <v>167</v>
      </c>
      <c r="K514" t="s">
        <v>202</v>
      </c>
      <c r="L514" t="s">
        <v>151</v>
      </c>
    </row>
    <row r="515" spans="1:13" x14ac:dyDescent="0.25">
      <c r="A515" t="s">
        <v>5</v>
      </c>
      <c r="B515" s="14" t="s">
        <v>50</v>
      </c>
      <c r="C515" t="s">
        <v>173</v>
      </c>
      <c r="D515" t="s">
        <v>5</v>
      </c>
      <c r="E515" t="s">
        <v>173</v>
      </c>
      <c r="F515" t="s">
        <v>173</v>
      </c>
      <c r="G515" t="s">
        <v>1</v>
      </c>
      <c r="H515" s="11" t="s">
        <v>150</v>
      </c>
      <c r="I515" s="14">
        <v>2022</v>
      </c>
      <c r="J515" t="s">
        <v>167</v>
      </c>
      <c r="K515" t="s">
        <v>202</v>
      </c>
      <c r="L515" t="s">
        <v>151</v>
      </c>
    </row>
    <row r="516" spans="1:13" x14ac:dyDescent="0.25">
      <c r="A516" t="s">
        <v>5</v>
      </c>
      <c r="B516" s="14" t="s">
        <v>50</v>
      </c>
      <c r="C516" t="s">
        <v>172</v>
      </c>
      <c r="D516" t="s">
        <v>5</v>
      </c>
      <c r="E516" t="s">
        <v>172</v>
      </c>
      <c r="F516" t="s">
        <v>172</v>
      </c>
      <c r="G516" t="s">
        <v>1</v>
      </c>
      <c r="H516" s="11" t="s">
        <v>150</v>
      </c>
      <c r="I516" s="14">
        <v>2022</v>
      </c>
      <c r="J516" t="s">
        <v>167</v>
      </c>
      <c r="K516" t="s">
        <v>202</v>
      </c>
      <c r="L516" t="s">
        <v>151</v>
      </c>
    </row>
    <row r="517" spans="1:13" x14ac:dyDescent="0.25">
      <c r="A517" t="s">
        <v>5</v>
      </c>
      <c r="B517" s="14" t="s">
        <v>38</v>
      </c>
      <c r="C517" t="s">
        <v>208</v>
      </c>
      <c r="D517" t="s">
        <v>5</v>
      </c>
      <c r="E517" t="s">
        <v>208</v>
      </c>
      <c r="F517" t="s">
        <v>208</v>
      </c>
      <c r="G517" t="s">
        <v>0</v>
      </c>
      <c r="H517" s="11" t="s">
        <v>150</v>
      </c>
      <c r="I517" s="14">
        <v>2022</v>
      </c>
      <c r="J517" t="s">
        <v>167</v>
      </c>
      <c r="K517" t="s">
        <v>202</v>
      </c>
      <c r="L517" t="s">
        <v>151</v>
      </c>
    </row>
    <row r="518" spans="1:13" x14ac:dyDescent="0.25">
      <c r="A518" t="s">
        <v>5</v>
      </c>
      <c r="B518" s="14" t="s">
        <v>38</v>
      </c>
      <c r="C518" t="s">
        <v>209</v>
      </c>
      <c r="D518" t="s">
        <v>5</v>
      </c>
      <c r="E518" t="s">
        <v>209</v>
      </c>
      <c r="F518" t="s">
        <v>209</v>
      </c>
      <c r="G518" t="s">
        <v>0</v>
      </c>
      <c r="H518" s="11" t="s">
        <v>150</v>
      </c>
      <c r="I518" s="14">
        <v>2022</v>
      </c>
      <c r="J518" t="s">
        <v>167</v>
      </c>
      <c r="K518" t="s">
        <v>202</v>
      </c>
      <c r="L518" t="s">
        <v>151</v>
      </c>
    </row>
    <row r="519" spans="1:13" x14ac:dyDescent="0.25">
      <c r="A519" t="s">
        <v>5</v>
      </c>
      <c r="B519" s="14" t="s">
        <v>22</v>
      </c>
      <c r="C519" t="s">
        <v>250</v>
      </c>
      <c r="D519" t="s">
        <v>5</v>
      </c>
      <c r="E519" t="s">
        <v>250</v>
      </c>
      <c r="F519" t="s">
        <v>250</v>
      </c>
      <c r="G519" t="s">
        <v>0</v>
      </c>
      <c r="H519" s="11" t="s">
        <v>150</v>
      </c>
      <c r="I519" s="14">
        <v>2022</v>
      </c>
      <c r="J519" t="s">
        <v>167</v>
      </c>
      <c r="K519" t="s">
        <v>202</v>
      </c>
      <c r="L519" t="s">
        <v>151</v>
      </c>
    </row>
    <row r="520" spans="1:13" x14ac:dyDescent="0.25">
      <c r="A520" t="s">
        <v>5</v>
      </c>
      <c r="B520" s="14" t="s">
        <v>38</v>
      </c>
      <c r="C520" t="s">
        <v>182</v>
      </c>
      <c r="D520" t="s">
        <v>38</v>
      </c>
      <c r="E520" t="s">
        <v>182</v>
      </c>
      <c r="F520" t="s">
        <v>182</v>
      </c>
      <c r="G520" t="s">
        <v>0</v>
      </c>
      <c r="H520" s="11" t="s">
        <v>150</v>
      </c>
      <c r="I520" s="14">
        <v>2022</v>
      </c>
      <c r="J520" t="s">
        <v>167</v>
      </c>
      <c r="K520" t="s">
        <v>202</v>
      </c>
      <c r="L520" t="s">
        <v>151</v>
      </c>
    </row>
    <row r="521" spans="1:13" x14ac:dyDescent="0.25">
      <c r="A521" t="s">
        <v>5</v>
      </c>
      <c r="B521" s="14" t="s">
        <v>38</v>
      </c>
      <c r="C521" t="s">
        <v>178</v>
      </c>
      <c r="D521" t="s">
        <v>38</v>
      </c>
      <c r="E521" t="s">
        <v>178</v>
      </c>
      <c r="F521" t="s">
        <v>178</v>
      </c>
      <c r="G521" t="s">
        <v>0</v>
      </c>
      <c r="H521" s="11" t="s">
        <v>150</v>
      </c>
      <c r="I521" s="14">
        <v>2022</v>
      </c>
      <c r="J521" t="s">
        <v>167</v>
      </c>
      <c r="K521" t="s">
        <v>202</v>
      </c>
      <c r="L521" t="s">
        <v>151</v>
      </c>
    </row>
    <row r="522" spans="1:13" x14ac:dyDescent="0.25">
      <c r="A522" t="s">
        <v>5</v>
      </c>
      <c r="B522" s="14" t="s">
        <v>38</v>
      </c>
      <c r="C522" t="s">
        <v>177</v>
      </c>
      <c r="D522" t="s">
        <v>38</v>
      </c>
      <c r="E522" t="s">
        <v>177</v>
      </c>
      <c r="F522" t="s">
        <v>177</v>
      </c>
      <c r="G522" t="s">
        <v>0</v>
      </c>
      <c r="H522" s="11" t="s">
        <v>150</v>
      </c>
      <c r="I522" s="14">
        <v>2022</v>
      </c>
      <c r="J522" t="s">
        <v>167</v>
      </c>
      <c r="K522" t="s">
        <v>202</v>
      </c>
      <c r="L522" t="s">
        <v>151</v>
      </c>
    </row>
    <row r="523" spans="1:13" x14ac:dyDescent="0.25">
      <c r="A523" t="s">
        <v>5</v>
      </c>
      <c r="B523" s="14" t="s">
        <v>38</v>
      </c>
      <c r="C523" t="s">
        <v>176</v>
      </c>
      <c r="D523" t="s">
        <v>38</v>
      </c>
      <c r="E523" t="s">
        <v>176</v>
      </c>
      <c r="F523" t="s">
        <v>176</v>
      </c>
      <c r="G523" t="s">
        <v>0</v>
      </c>
      <c r="H523" s="11" t="s">
        <v>150</v>
      </c>
      <c r="I523" s="14">
        <v>2022</v>
      </c>
      <c r="J523" t="s">
        <v>167</v>
      </c>
      <c r="K523" t="s">
        <v>202</v>
      </c>
      <c r="L523" t="s">
        <v>151</v>
      </c>
    </row>
    <row r="524" spans="1:13" x14ac:dyDescent="0.25">
      <c r="A524" t="s">
        <v>5</v>
      </c>
      <c r="B524" s="14" t="s">
        <v>38</v>
      </c>
      <c r="C524" t="s">
        <v>179</v>
      </c>
      <c r="D524" t="s">
        <v>38</v>
      </c>
      <c r="E524" t="s">
        <v>179</v>
      </c>
      <c r="F524" t="s">
        <v>179</v>
      </c>
      <c r="G524" t="s">
        <v>0</v>
      </c>
      <c r="H524" s="11" t="s">
        <v>150</v>
      </c>
      <c r="I524" s="14">
        <v>2022</v>
      </c>
      <c r="J524" t="s">
        <v>167</v>
      </c>
      <c r="K524" t="s">
        <v>202</v>
      </c>
      <c r="L524" t="s">
        <v>151</v>
      </c>
    </row>
    <row r="525" spans="1:13" x14ac:dyDescent="0.25">
      <c r="A525" t="s">
        <v>55</v>
      </c>
      <c r="B525" s="14" t="s">
        <v>55</v>
      </c>
      <c r="C525" t="s">
        <v>194</v>
      </c>
      <c r="D525" t="s">
        <v>55</v>
      </c>
      <c r="E525" t="s">
        <v>194</v>
      </c>
      <c r="F525" t="s">
        <v>194</v>
      </c>
      <c r="G525" t="s">
        <v>0</v>
      </c>
      <c r="H525" s="11" t="s">
        <v>150</v>
      </c>
      <c r="I525" s="14">
        <v>2022</v>
      </c>
      <c r="J525" t="s">
        <v>167</v>
      </c>
      <c r="K525" t="s">
        <v>202</v>
      </c>
      <c r="L525" t="s">
        <v>151</v>
      </c>
    </row>
    <row r="526" spans="1:13" x14ac:dyDescent="0.25">
      <c r="A526" t="s">
        <v>55</v>
      </c>
      <c r="B526" s="14" t="s">
        <v>55</v>
      </c>
      <c r="C526" t="s">
        <v>192</v>
      </c>
      <c r="D526" t="s">
        <v>55</v>
      </c>
      <c r="E526" t="s">
        <v>192</v>
      </c>
      <c r="F526" t="s">
        <v>192</v>
      </c>
      <c r="G526" t="s">
        <v>0</v>
      </c>
      <c r="H526" s="11" t="s">
        <v>150</v>
      </c>
      <c r="I526" s="14">
        <v>2022</v>
      </c>
      <c r="J526" t="s">
        <v>167</v>
      </c>
      <c r="K526" t="s">
        <v>202</v>
      </c>
      <c r="L526" t="s">
        <v>151</v>
      </c>
    </row>
    <row r="527" spans="1:13" x14ac:dyDescent="0.25">
      <c r="A527" t="s">
        <v>55</v>
      </c>
      <c r="B527" s="14" t="s">
        <v>55</v>
      </c>
      <c r="C527" t="s">
        <v>193</v>
      </c>
      <c r="D527" t="s">
        <v>55</v>
      </c>
      <c r="E527" t="s">
        <v>193</v>
      </c>
      <c r="F527" t="s">
        <v>193</v>
      </c>
      <c r="G527" t="s">
        <v>0</v>
      </c>
      <c r="H527" s="11" t="s">
        <v>150</v>
      </c>
      <c r="I527" s="14">
        <v>2022</v>
      </c>
      <c r="J527" t="s">
        <v>167</v>
      </c>
      <c r="K527" t="s">
        <v>202</v>
      </c>
      <c r="L527" t="s">
        <v>151</v>
      </c>
    </row>
    <row r="528" spans="1:13" x14ac:dyDescent="0.25">
      <c r="A528" t="s">
        <v>55</v>
      </c>
      <c r="B528" s="14" t="s">
        <v>55</v>
      </c>
      <c r="C528" t="s">
        <v>191</v>
      </c>
      <c r="D528" t="s">
        <v>55</v>
      </c>
      <c r="E528" t="s">
        <v>191</v>
      </c>
      <c r="F528" t="s">
        <v>191</v>
      </c>
      <c r="G528" t="s">
        <v>0</v>
      </c>
      <c r="H528" s="11" t="s">
        <v>150</v>
      </c>
      <c r="I528" s="14">
        <v>2022</v>
      </c>
      <c r="J528" t="s">
        <v>167</v>
      </c>
      <c r="K528" t="s">
        <v>202</v>
      </c>
      <c r="L528" t="s">
        <v>151</v>
      </c>
    </row>
    <row r="529" spans="1:12" x14ac:dyDescent="0.25">
      <c r="A529" t="s">
        <v>55</v>
      </c>
      <c r="B529" s="14" t="s">
        <v>56</v>
      </c>
      <c r="C529" t="s">
        <v>190</v>
      </c>
      <c r="D529" t="s">
        <v>55</v>
      </c>
      <c r="E529" t="s">
        <v>190</v>
      </c>
      <c r="F529" t="s">
        <v>190</v>
      </c>
      <c r="G529" t="s">
        <v>0</v>
      </c>
      <c r="H529" s="11" t="s">
        <v>150</v>
      </c>
      <c r="I529" s="14">
        <v>2022</v>
      </c>
      <c r="J529" t="s">
        <v>167</v>
      </c>
      <c r="K529" t="s">
        <v>202</v>
      </c>
      <c r="L529" t="s">
        <v>151</v>
      </c>
    </row>
    <row r="530" spans="1:12" x14ac:dyDescent="0.25">
      <c r="A530" t="s">
        <v>98</v>
      </c>
      <c r="B530" s="14" t="s">
        <v>111</v>
      </c>
      <c r="C530" t="s">
        <v>166</v>
      </c>
      <c r="D530" t="s">
        <v>98</v>
      </c>
      <c r="E530" t="s">
        <v>166</v>
      </c>
      <c r="F530" t="s">
        <v>166</v>
      </c>
      <c r="G530" t="s">
        <v>98</v>
      </c>
      <c r="H530" s="11" t="s">
        <v>150</v>
      </c>
      <c r="I530" s="14">
        <v>2022</v>
      </c>
      <c r="J530" t="s">
        <v>167</v>
      </c>
      <c r="K530" t="s">
        <v>202</v>
      </c>
      <c r="L530" t="s">
        <v>151</v>
      </c>
    </row>
    <row r="531" spans="1:12" x14ac:dyDescent="0.25">
      <c r="A531" t="s">
        <v>98</v>
      </c>
      <c r="B531" s="14" t="s">
        <v>111</v>
      </c>
      <c r="C531" t="s">
        <v>475</v>
      </c>
      <c r="D531" t="s">
        <v>98</v>
      </c>
      <c r="E531" t="s">
        <v>475</v>
      </c>
      <c r="F531" t="s">
        <v>475</v>
      </c>
      <c r="G531" t="s">
        <v>98</v>
      </c>
      <c r="H531" s="11" t="s">
        <v>150</v>
      </c>
      <c r="I531" s="14">
        <v>2022</v>
      </c>
      <c r="J531" t="s">
        <v>167</v>
      </c>
      <c r="K531" t="s">
        <v>202</v>
      </c>
      <c r="L531" t="s">
        <v>151</v>
      </c>
    </row>
    <row r="532" spans="1:12" x14ac:dyDescent="0.25">
      <c r="A532" t="s">
        <v>98</v>
      </c>
      <c r="B532" s="14" t="s">
        <v>98</v>
      </c>
      <c r="C532" t="s">
        <v>169</v>
      </c>
      <c r="D532" t="s">
        <v>98</v>
      </c>
      <c r="E532" t="s">
        <v>169</v>
      </c>
      <c r="F532" t="s">
        <v>169</v>
      </c>
      <c r="G532" t="s">
        <v>98</v>
      </c>
      <c r="H532" s="11" t="s">
        <v>150</v>
      </c>
      <c r="I532" s="14">
        <v>2022</v>
      </c>
      <c r="J532" t="s">
        <v>167</v>
      </c>
      <c r="K532" t="s">
        <v>202</v>
      </c>
      <c r="L532" t="s">
        <v>151</v>
      </c>
    </row>
    <row r="533" spans="1:12" x14ac:dyDescent="0.25">
      <c r="A533" t="s">
        <v>98</v>
      </c>
      <c r="B533" s="14" t="s">
        <v>134</v>
      </c>
      <c r="C533" t="s">
        <v>468</v>
      </c>
      <c r="D533" t="s">
        <v>98</v>
      </c>
      <c r="E533" t="s">
        <v>468</v>
      </c>
      <c r="F533" t="s">
        <v>468</v>
      </c>
      <c r="G533" t="s">
        <v>98</v>
      </c>
      <c r="H533" s="11" t="s">
        <v>150</v>
      </c>
      <c r="I533" s="14">
        <v>2022</v>
      </c>
      <c r="J533" t="s">
        <v>167</v>
      </c>
      <c r="K533" t="s">
        <v>202</v>
      </c>
      <c r="L533" t="s">
        <v>151</v>
      </c>
    </row>
    <row r="534" spans="1:12" x14ac:dyDescent="0.25">
      <c r="A534" t="s">
        <v>5</v>
      </c>
      <c r="B534" s="14" t="s">
        <v>22</v>
      </c>
      <c r="C534" t="s">
        <v>250</v>
      </c>
      <c r="D534" t="s">
        <v>5</v>
      </c>
      <c r="E534" t="s">
        <v>250</v>
      </c>
      <c r="F534" t="s">
        <v>250</v>
      </c>
      <c r="G534" t="s">
        <v>2</v>
      </c>
      <c r="H534" s="12" t="s">
        <v>152</v>
      </c>
      <c r="I534" s="14">
        <v>2020</v>
      </c>
      <c r="J534" t="s">
        <v>141</v>
      </c>
      <c r="K534" t="s">
        <v>476</v>
      </c>
      <c r="L534" t="s">
        <v>153</v>
      </c>
    </row>
    <row r="535" spans="1:12" x14ac:dyDescent="0.25">
      <c r="A535" t="s">
        <v>5</v>
      </c>
      <c r="B535" s="14" t="s">
        <v>38</v>
      </c>
      <c r="C535" t="s">
        <v>286</v>
      </c>
      <c r="D535" t="s">
        <v>5</v>
      </c>
      <c r="E535" t="s">
        <v>286</v>
      </c>
      <c r="F535" t="s">
        <v>286</v>
      </c>
      <c r="G535" t="s">
        <v>0</v>
      </c>
      <c r="H535" s="12" t="s">
        <v>152</v>
      </c>
      <c r="I535" s="14">
        <v>2020</v>
      </c>
      <c r="J535" t="s">
        <v>141</v>
      </c>
      <c r="K535" t="s">
        <v>476</v>
      </c>
      <c r="L535" t="s">
        <v>153</v>
      </c>
    </row>
    <row r="536" spans="1:12" x14ac:dyDescent="0.25">
      <c r="A536" t="s">
        <v>5</v>
      </c>
      <c r="B536" s="14" t="s">
        <v>17</v>
      </c>
      <c r="C536" t="s">
        <v>187</v>
      </c>
      <c r="D536" t="s">
        <v>5</v>
      </c>
      <c r="E536" t="s">
        <v>187</v>
      </c>
      <c r="F536" t="s">
        <v>187</v>
      </c>
      <c r="G536" t="s">
        <v>0</v>
      </c>
      <c r="H536" s="12" t="s">
        <v>152</v>
      </c>
      <c r="I536" s="14">
        <v>2020</v>
      </c>
      <c r="J536" t="s">
        <v>141</v>
      </c>
      <c r="K536" t="s">
        <v>476</v>
      </c>
      <c r="L536" t="s">
        <v>153</v>
      </c>
    </row>
    <row r="537" spans="1:12" x14ac:dyDescent="0.25">
      <c r="A537" t="s">
        <v>5</v>
      </c>
      <c r="B537" s="14" t="s">
        <v>38</v>
      </c>
      <c r="C537" t="s">
        <v>205</v>
      </c>
      <c r="D537" t="s">
        <v>5</v>
      </c>
      <c r="E537" t="s">
        <v>205</v>
      </c>
      <c r="F537" t="s">
        <v>205</v>
      </c>
      <c r="G537" t="s">
        <v>0</v>
      </c>
      <c r="H537" s="12" t="s">
        <v>152</v>
      </c>
      <c r="I537" s="14">
        <v>2020</v>
      </c>
      <c r="J537" t="s">
        <v>141</v>
      </c>
      <c r="K537" t="s">
        <v>476</v>
      </c>
      <c r="L537" t="s">
        <v>153</v>
      </c>
    </row>
    <row r="538" spans="1:12" x14ac:dyDescent="0.25">
      <c r="A538" t="s">
        <v>5</v>
      </c>
      <c r="B538" s="14" t="s">
        <v>38</v>
      </c>
      <c r="C538" t="s">
        <v>208</v>
      </c>
      <c r="D538" t="s">
        <v>5</v>
      </c>
      <c r="E538" t="s">
        <v>208</v>
      </c>
      <c r="F538" t="s">
        <v>208</v>
      </c>
      <c r="G538" t="s">
        <v>0</v>
      </c>
      <c r="H538" s="12" t="s">
        <v>152</v>
      </c>
      <c r="I538" s="14">
        <v>2020</v>
      </c>
      <c r="J538" t="s">
        <v>141</v>
      </c>
      <c r="K538" t="s">
        <v>476</v>
      </c>
      <c r="L538" t="s">
        <v>153</v>
      </c>
    </row>
    <row r="539" spans="1:12" x14ac:dyDescent="0.25">
      <c r="A539" t="s">
        <v>5</v>
      </c>
      <c r="B539" s="14" t="s">
        <v>38</v>
      </c>
      <c r="C539" t="s">
        <v>179</v>
      </c>
      <c r="D539" t="s">
        <v>5</v>
      </c>
      <c r="E539" t="s">
        <v>179</v>
      </c>
      <c r="F539" t="s">
        <v>179</v>
      </c>
      <c r="G539" t="s">
        <v>0</v>
      </c>
      <c r="H539" s="12" t="s">
        <v>152</v>
      </c>
      <c r="I539" s="14">
        <v>2020</v>
      </c>
      <c r="J539" t="s">
        <v>141</v>
      </c>
      <c r="K539" t="s">
        <v>476</v>
      </c>
      <c r="L539" t="s">
        <v>153</v>
      </c>
    </row>
    <row r="540" spans="1:12" x14ac:dyDescent="0.25">
      <c r="A540" t="s">
        <v>55</v>
      </c>
      <c r="B540" s="14" t="s">
        <v>55</v>
      </c>
      <c r="C540" t="s">
        <v>193</v>
      </c>
      <c r="D540" t="s">
        <v>55</v>
      </c>
      <c r="E540" t="s">
        <v>193</v>
      </c>
      <c r="F540" t="s">
        <v>193</v>
      </c>
      <c r="G540" t="s">
        <v>0</v>
      </c>
      <c r="H540" s="12" t="s">
        <v>152</v>
      </c>
      <c r="I540" s="14">
        <v>2020</v>
      </c>
      <c r="J540" t="s">
        <v>141</v>
      </c>
      <c r="K540" t="s">
        <v>476</v>
      </c>
      <c r="L540" t="s">
        <v>153</v>
      </c>
    </row>
    <row r="541" spans="1:12" x14ac:dyDescent="0.25">
      <c r="A541" t="s">
        <v>5</v>
      </c>
      <c r="B541" s="14" t="s">
        <v>45</v>
      </c>
      <c r="C541" t="s">
        <v>183</v>
      </c>
      <c r="D541" t="s">
        <v>5</v>
      </c>
      <c r="E541" t="s">
        <v>183</v>
      </c>
      <c r="F541" t="s">
        <v>183</v>
      </c>
      <c r="G541" t="s">
        <v>0</v>
      </c>
      <c r="H541" s="12" t="s">
        <v>152</v>
      </c>
      <c r="I541" s="14">
        <v>2020</v>
      </c>
      <c r="J541" t="s">
        <v>141</v>
      </c>
      <c r="K541" t="s">
        <v>476</v>
      </c>
      <c r="L541" t="s">
        <v>153</v>
      </c>
    </row>
    <row r="542" spans="1:12" x14ac:dyDescent="0.25">
      <c r="A542" t="s">
        <v>5</v>
      </c>
      <c r="B542" s="14" t="s">
        <v>38</v>
      </c>
      <c r="C542" t="s">
        <v>178</v>
      </c>
      <c r="D542" t="s">
        <v>5</v>
      </c>
      <c r="E542" t="s">
        <v>178</v>
      </c>
      <c r="F542" t="s">
        <v>178</v>
      </c>
      <c r="G542" t="s">
        <v>0</v>
      </c>
      <c r="H542" s="12" t="s">
        <v>152</v>
      </c>
      <c r="I542" s="14">
        <v>2020</v>
      </c>
      <c r="J542" t="s">
        <v>141</v>
      </c>
      <c r="K542" t="s">
        <v>476</v>
      </c>
      <c r="L542" t="s">
        <v>153</v>
      </c>
    </row>
    <row r="543" spans="1:12" x14ac:dyDescent="0.25">
      <c r="A543" t="s">
        <v>5</v>
      </c>
      <c r="B543" s="14" t="s">
        <v>50</v>
      </c>
      <c r="C543" t="s">
        <v>231</v>
      </c>
      <c r="D543" t="s">
        <v>5</v>
      </c>
      <c r="E543" t="s">
        <v>231</v>
      </c>
      <c r="F543" t="s">
        <v>231</v>
      </c>
      <c r="G543" t="s">
        <v>1</v>
      </c>
      <c r="H543" s="12" t="s">
        <v>152</v>
      </c>
      <c r="I543" s="14">
        <v>2020</v>
      </c>
      <c r="J543" t="s">
        <v>141</v>
      </c>
      <c r="K543" t="s">
        <v>476</v>
      </c>
      <c r="L543" t="s">
        <v>153</v>
      </c>
    </row>
    <row r="544" spans="1:12" x14ac:dyDescent="0.25">
      <c r="A544" t="s">
        <v>5</v>
      </c>
      <c r="B544" s="14" t="s">
        <v>50</v>
      </c>
      <c r="C544" t="s">
        <v>232</v>
      </c>
      <c r="D544" t="s">
        <v>5</v>
      </c>
      <c r="E544" t="s">
        <v>232</v>
      </c>
      <c r="F544" t="s">
        <v>232</v>
      </c>
      <c r="G544" t="s">
        <v>1</v>
      </c>
      <c r="H544" s="12" t="s">
        <v>152</v>
      </c>
      <c r="I544" s="14">
        <v>2020</v>
      </c>
      <c r="J544" t="s">
        <v>141</v>
      </c>
      <c r="K544" t="s">
        <v>476</v>
      </c>
      <c r="L544" t="s">
        <v>153</v>
      </c>
    </row>
    <row r="545" spans="1:13" x14ac:dyDescent="0.25">
      <c r="A545" t="s">
        <v>5</v>
      </c>
      <c r="B545" s="14" t="s">
        <v>50</v>
      </c>
      <c r="C545" t="s">
        <v>174</v>
      </c>
      <c r="D545" t="s">
        <v>5</v>
      </c>
      <c r="E545" t="s">
        <v>174</v>
      </c>
      <c r="F545" t="s">
        <v>174</v>
      </c>
      <c r="G545" t="s">
        <v>1</v>
      </c>
      <c r="H545" s="12" t="s">
        <v>152</v>
      </c>
      <c r="I545" s="14">
        <v>2020</v>
      </c>
      <c r="J545" t="s">
        <v>141</v>
      </c>
      <c r="K545" t="s">
        <v>476</v>
      </c>
      <c r="L545" t="s">
        <v>153</v>
      </c>
    </row>
    <row r="546" spans="1:13" x14ac:dyDescent="0.25">
      <c r="A546" t="s">
        <v>5</v>
      </c>
      <c r="B546" s="14" t="s">
        <v>50</v>
      </c>
      <c r="C546" t="s">
        <v>172</v>
      </c>
      <c r="D546" t="s">
        <v>5</v>
      </c>
      <c r="E546" t="s">
        <v>172</v>
      </c>
      <c r="F546" t="s">
        <v>172</v>
      </c>
      <c r="G546" t="s">
        <v>1</v>
      </c>
      <c r="H546" s="12" t="s">
        <v>152</v>
      </c>
      <c r="I546" s="14">
        <v>2020</v>
      </c>
      <c r="J546" t="s">
        <v>141</v>
      </c>
      <c r="K546" t="s">
        <v>476</v>
      </c>
      <c r="L546" t="s">
        <v>153</v>
      </c>
    </row>
    <row r="547" spans="1:13" x14ac:dyDescent="0.25">
      <c r="A547" t="s">
        <v>98</v>
      </c>
      <c r="B547" s="14" t="s">
        <v>134</v>
      </c>
      <c r="C547" t="s">
        <v>468</v>
      </c>
      <c r="D547" t="s">
        <v>98</v>
      </c>
      <c r="E547" t="s">
        <v>468</v>
      </c>
      <c r="F547" t="s">
        <v>468</v>
      </c>
      <c r="G547" t="s">
        <v>98</v>
      </c>
      <c r="H547" s="12" t="s">
        <v>152</v>
      </c>
      <c r="I547" s="14">
        <v>2020</v>
      </c>
      <c r="J547" t="s">
        <v>141</v>
      </c>
      <c r="K547" t="s">
        <v>476</v>
      </c>
      <c r="L547" t="s">
        <v>153</v>
      </c>
    </row>
    <row r="548" spans="1:13" x14ac:dyDescent="0.25">
      <c r="A548" t="s">
        <v>98</v>
      </c>
      <c r="B548" s="14" t="s">
        <v>111</v>
      </c>
      <c r="C548" t="s">
        <v>475</v>
      </c>
      <c r="D548" t="s">
        <v>98</v>
      </c>
      <c r="E548" t="s">
        <v>475</v>
      </c>
      <c r="F548" t="s">
        <v>475</v>
      </c>
      <c r="G548" t="s">
        <v>98</v>
      </c>
      <c r="H548" s="12" t="s">
        <v>152</v>
      </c>
      <c r="I548" s="14">
        <v>2020</v>
      </c>
      <c r="J548" t="s">
        <v>141</v>
      </c>
      <c r="K548" t="s">
        <v>476</v>
      </c>
      <c r="L548" t="s">
        <v>153</v>
      </c>
    </row>
    <row r="549" spans="1:13" x14ac:dyDescent="0.25">
      <c r="A549" t="s">
        <v>5</v>
      </c>
      <c r="B549" s="14" t="s">
        <v>16</v>
      </c>
      <c r="C549" t="s">
        <v>229</v>
      </c>
      <c r="D549" t="s">
        <v>5</v>
      </c>
      <c r="E549" t="s">
        <v>229</v>
      </c>
      <c r="F549" t="s">
        <v>229</v>
      </c>
      <c r="G549" t="s">
        <v>2</v>
      </c>
      <c r="H549" s="15" t="s">
        <v>154</v>
      </c>
      <c r="I549" s="14">
        <v>2005</v>
      </c>
      <c r="J549" t="s">
        <v>155</v>
      </c>
      <c r="K549" t="s">
        <v>202</v>
      </c>
      <c r="L549" t="s">
        <v>156</v>
      </c>
      <c r="M549" t="s">
        <v>477</v>
      </c>
    </row>
    <row r="550" spans="1:13" x14ac:dyDescent="0.25">
      <c r="A550" t="s">
        <v>5</v>
      </c>
      <c r="B550" s="14" t="s">
        <v>16</v>
      </c>
      <c r="C550" t="s">
        <v>230</v>
      </c>
      <c r="D550" t="s">
        <v>5</v>
      </c>
      <c r="E550" t="s">
        <v>230</v>
      </c>
      <c r="F550" t="s">
        <v>230</v>
      </c>
      <c r="G550" t="s">
        <v>2</v>
      </c>
      <c r="H550" s="15" t="s">
        <v>154</v>
      </c>
      <c r="I550" s="14">
        <v>2005</v>
      </c>
      <c r="J550" t="s">
        <v>155</v>
      </c>
      <c r="K550" t="s">
        <v>202</v>
      </c>
      <c r="L550" t="s">
        <v>156</v>
      </c>
    </row>
    <row r="551" spans="1:13" x14ac:dyDescent="0.25">
      <c r="A551" t="s">
        <v>5</v>
      </c>
      <c r="B551" s="14" t="s">
        <v>5</v>
      </c>
      <c r="C551" t="s">
        <v>217</v>
      </c>
      <c r="D551" t="s">
        <v>5</v>
      </c>
      <c r="E551" t="s">
        <v>217</v>
      </c>
      <c r="F551" t="s">
        <v>217</v>
      </c>
      <c r="G551" t="s">
        <v>0</v>
      </c>
      <c r="H551" s="15" t="s">
        <v>154</v>
      </c>
      <c r="I551" s="14">
        <v>2005</v>
      </c>
      <c r="J551" t="s">
        <v>155</v>
      </c>
      <c r="K551" t="s">
        <v>202</v>
      </c>
      <c r="L551" t="s">
        <v>156</v>
      </c>
    </row>
    <row r="552" spans="1:13" x14ac:dyDescent="0.25">
      <c r="A552" t="s">
        <v>5</v>
      </c>
      <c r="B552" s="14" t="s">
        <v>47</v>
      </c>
      <c r="C552" t="s">
        <v>207</v>
      </c>
      <c r="D552" t="s">
        <v>5</v>
      </c>
      <c r="E552" t="s">
        <v>207</v>
      </c>
      <c r="F552" t="s">
        <v>207</v>
      </c>
      <c r="G552" t="s">
        <v>0</v>
      </c>
      <c r="H552" s="15" t="s">
        <v>154</v>
      </c>
      <c r="I552" s="14">
        <v>2005</v>
      </c>
      <c r="J552" t="s">
        <v>157</v>
      </c>
      <c r="K552" t="s">
        <v>202</v>
      </c>
      <c r="L552" t="s">
        <v>156</v>
      </c>
    </row>
    <row r="553" spans="1:13" x14ac:dyDescent="0.25">
      <c r="A553" t="s">
        <v>5</v>
      </c>
      <c r="B553" s="14" t="s">
        <v>38</v>
      </c>
      <c r="C553" t="s">
        <v>203</v>
      </c>
      <c r="D553" t="s">
        <v>5</v>
      </c>
      <c r="E553" t="s">
        <v>203</v>
      </c>
      <c r="F553" t="s">
        <v>203</v>
      </c>
      <c r="G553" t="s">
        <v>0</v>
      </c>
      <c r="H553" s="15" t="s">
        <v>154</v>
      </c>
      <c r="I553" s="14">
        <v>2005</v>
      </c>
      <c r="J553" t="s">
        <v>155</v>
      </c>
      <c r="K553" t="s">
        <v>202</v>
      </c>
      <c r="L553" t="s">
        <v>156</v>
      </c>
    </row>
    <row r="554" spans="1:13" x14ac:dyDescent="0.25">
      <c r="A554" t="s">
        <v>5</v>
      </c>
      <c r="B554" s="14" t="s">
        <v>38</v>
      </c>
      <c r="C554" t="s">
        <v>205</v>
      </c>
      <c r="D554" t="s">
        <v>5</v>
      </c>
      <c r="E554" t="s">
        <v>205</v>
      </c>
      <c r="F554" t="s">
        <v>205</v>
      </c>
      <c r="G554" t="s">
        <v>0</v>
      </c>
      <c r="H554" s="15" t="s">
        <v>154</v>
      </c>
      <c r="I554" s="14">
        <v>2005</v>
      </c>
      <c r="J554" t="s">
        <v>155</v>
      </c>
      <c r="K554" t="s">
        <v>202</v>
      </c>
      <c r="L554" t="s">
        <v>156</v>
      </c>
    </row>
    <row r="555" spans="1:13" x14ac:dyDescent="0.25">
      <c r="A555" t="s">
        <v>5</v>
      </c>
      <c r="B555" s="14" t="s">
        <v>38</v>
      </c>
      <c r="C555" t="s">
        <v>354</v>
      </c>
      <c r="D555" t="s">
        <v>5</v>
      </c>
      <c r="E555" t="s">
        <v>354</v>
      </c>
      <c r="F555" t="s">
        <v>354</v>
      </c>
      <c r="G555" t="s">
        <v>0</v>
      </c>
      <c r="H555" s="15" t="s">
        <v>154</v>
      </c>
      <c r="I555" s="14">
        <v>2005</v>
      </c>
      <c r="J555" t="s">
        <v>155</v>
      </c>
      <c r="K555" t="s">
        <v>202</v>
      </c>
      <c r="L555" t="s">
        <v>156</v>
      </c>
    </row>
    <row r="556" spans="1:13" x14ac:dyDescent="0.25">
      <c r="A556" t="s">
        <v>5</v>
      </c>
      <c r="B556" s="14" t="s">
        <v>38</v>
      </c>
      <c r="C556" t="s">
        <v>364</v>
      </c>
      <c r="D556" t="s">
        <v>5</v>
      </c>
      <c r="E556" t="s">
        <v>364</v>
      </c>
      <c r="F556" t="s">
        <v>364</v>
      </c>
      <c r="G556" t="s">
        <v>0</v>
      </c>
      <c r="H556" s="15" t="s">
        <v>154</v>
      </c>
      <c r="I556" s="14">
        <v>2005</v>
      </c>
      <c r="J556" t="s">
        <v>155</v>
      </c>
      <c r="K556" t="s">
        <v>202</v>
      </c>
      <c r="L556" t="s">
        <v>156</v>
      </c>
    </row>
    <row r="557" spans="1:13" x14ac:dyDescent="0.25">
      <c r="A557" t="s">
        <v>5</v>
      </c>
      <c r="B557" s="14" t="s">
        <v>38</v>
      </c>
      <c r="C557" t="s">
        <v>175</v>
      </c>
      <c r="D557" t="s">
        <v>5</v>
      </c>
      <c r="E557" t="s">
        <v>175</v>
      </c>
      <c r="F557" t="s">
        <v>175</v>
      </c>
      <c r="G557" t="s">
        <v>0</v>
      </c>
      <c r="H557" s="15" t="s">
        <v>154</v>
      </c>
      <c r="I557" s="14">
        <v>2005</v>
      </c>
      <c r="J557" t="s">
        <v>155</v>
      </c>
      <c r="K557" t="s">
        <v>202</v>
      </c>
      <c r="L557" t="s">
        <v>156</v>
      </c>
    </row>
    <row r="558" spans="1:13" x14ac:dyDescent="0.25">
      <c r="A558" t="s">
        <v>5</v>
      </c>
      <c r="B558" s="14" t="s">
        <v>38</v>
      </c>
      <c r="C558" t="s">
        <v>372</v>
      </c>
      <c r="D558" t="s">
        <v>5</v>
      </c>
      <c r="E558" t="s">
        <v>372</v>
      </c>
      <c r="F558" t="s">
        <v>372</v>
      </c>
      <c r="G558" t="s">
        <v>0</v>
      </c>
      <c r="H558" s="15" t="s">
        <v>154</v>
      </c>
      <c r="I558" s="14">
        <v>2005</v>
      </c>
      <c r="J558" t="s">
        <v>155</v>
      </c>
      <c r="K558" t="s">
        <v>202</v>
      </c>
      <c r="L558" t="s">
        <v>156</v>
      </c>
    </row>
    <row r="559" spans="1:13" x14ac:dyDescent="0.25">
      <c r="A559" t="s">
        <v>5</v>
      </c>
      <c r="B559" s="14" t="s">
        <v>14</v>
      </c>
      <c r="C559" t="s">
        <v>210</v>
      </c>
      <c r="D559" t="s">
        <v>5</v>
      </c>
      <c r="E559" t="s">
        <v>210</v>
      </c>
      <c r="F559" t="s">
        <v>210</v>
      </c>
      <c r="G559" t="s">
        <v>0</v>
      </c>
      <c r="H559" s="15" t="s">
        <v>154</v>
      </c>
      <c r="I559" s="14">
        <v>2005</v>
      </c>
      <c r="J559" t="s">
        <v>155</v>
      </c>
      <c r="K559" t="s">
        <v>202</v>
      </c>
      <c r="L559" t="s">
        <v>156</v>
      </c>
    </row>
    <row r="560" spans="1:13" x14ac:dyDescent="0.25">
      <c r="A560" t="s">
        <v>5</v>
      </c>
      <c r="B560" s="14" t="s">
        <v>38</v>
      </c>
      <c r="C560" t="s">
        <v>204</v>
      </c>
      <c r="D560" t="s">
        <v>5</v>
      </c>
      <c r="E560" t="s">
        <v>204</v>
      </c>
      <c r="F560" t="s">
        <v>204</v>
      </c>
      <c r="G560" t="s">
        <v>0</v>
      </c>
      <c r="H560" s="15" t="s">
        <v>154</v>
      </c>
      <c r="I560" s="14">
        <v>2005</v>
      </c>
      <c r="J560" t="s">
        <v>155</v>
      </c>
      <c r="K560" t="s">
        <v>202</v>
      </c>
      <c r="L560" t="s">
        <v>156</v>
      </c>
    </row>
    <row r="561" spans="1:12" x14ac:dyDescent="0.25">
      <c r="A561" t="s">
        <v>5</v>
      </c>
      <c r="B561" s="14" t="s">
        <v>6</v>
      </c>
      <c r="C561" t="s">
        <v>379</v>
      </c>
      <c r="D561" t="s">
        <v>5</v>
      </c>
      <c r="E561" t="s">
        <v>379</v>
      </c>
      <c r="F561" t="s">
        <v>379</v>
      </c>
      <c r="G561" t="s">
        <v>0</v>
      </c>
      <c r="H561" s="15" t="s">
        <v>154</v>
      </c>
      <c r="I561" s="14">
        <v>2005</v>
      </c>
      <c r="J561" t="s">
        <v>155</v>
      </c>
      <c r="K561" t="s">
        <v>202</v>
      </c>
      <c r="L561" t="s">
        <v>156</v>
      </c>
    </row>
    <row r="562" spans="1:12" x14ac:dyDescent="0.25">
      <c r="A562" t="s">
        <v>5</v>
      </c>
      <c r="B562" s="14" t="s">
        <v>7</v>
      </c>
      <c r="C562" t="s">
        <v>212</v>
      </c>
      <c r="D562" t="s">
        <v>5</v>
      </c>
      <c r="E562" t="s">
        <v>212</v>
      </c>
      <c r="F562" t="s">
        <v>212</v>
      </c>
      <c r="G562" t="s">
        <v>1</v>
      </c>
      <c r="H562" s="15" t="s">
        <v>154</v>
      </c>
      <c r="I562" s="14">
        <v>2005</v>
      </c>
      <c r="J562" t="s">
        <v>155</v>
      </c>
      <c r="K562" t="s">
        <v>202</v>
      </c>
      <c r="L562" t="s">
        <v>156</v>
      </c>
    </row>
    <row r="563" spans="1:12" x14ac:dyDescent="0.25">
      <c r="A563" t="s">
        <v>5</v>
      </c>
      <c r="B563" s="14" t="s">
        <v>50</v>
      </c>
      <c r="C563" t="s">
        <v>234</v>
      </c>
      <c r="D563" t="s">
        <v>5</v>
      </c>
      <c r="E563" t="s">
        <v>234</v>
      </c>
      <c r="F563" t="s">
        <v>234</v>
      </c>
      <c r="G563" t="s">
        <v>1</v>
      </c>
      <c r="H563" s="15" t="s">
        <v>154</v>
      </c>
      <c r="I563" s="14">
        <v>2005</v>
      </c>
      <c r="J563" t="s">
        <v>155</v>
      </c>
      <c r="K563" t="s">
        <v>202</v>
      </c>
      <c r="L563" t="s">
        <v>156</v>
      </c>
    </row>
    <row r="564" spans="1:12" x14ac:dyDescent="0.25">
      <c r="A564" t="s">
        <v>5</v>
      </c>
      <c r="B564" s="14" t="s">
        <v>50</v>
      </c>
      <c r="C564" t="s">
        <v>174</v>
      </c>
      <c r="D564" t="s">
        <v>5</v>
      </c>
      <c r="E564" t="s">
        <v>174</v>
      </c>
      <c r="F564" t="s">
        <v>174</v>
      </c>
      <c r="G564" t="s">
        <v>1</v>
      </c>
      <c r="H564" s="15" t="s">
        <v>154</v>
      </c>
      <c r="I564" s="14">
        <v>2005</v>
      </c>
      <c r="J564" t="s">
        <v>155</v>
      </c>
      <c r="K564" t="s">
        <v>202</v>
      </c>
      <c r="L564" t="s">
        <v>156</v>
      </c>
    </row>
    <row r="565" spans="1:12" x14ac:dyDescent="0.25">
      <c r="A565" t="s">
        <v>5</v>
      </c>
      <c r="B565" s="14" t="s">
        <v>50</v>
      </c>
      <c r="C565" t="s">
        <v>172</v>
      </c>
      <c r="D565" t="s">
        <v>5</v>
      </c>
      <c r="E565" t="s">
        <v>172</v>
      </c>
      <c r="F565" t="s">
        <v>172</v>
      </c>
      <c r="G565" t="s">
        <v>1</v>
      </c>
      <c r="H565" s="15" t="s">
        <v>154</v>
      </c>
      <c r="I565" s="14">
        <v>2005</v>
      </c>
      <c r="J565" t="s">
        <v>155</v>
      </c>
      <c r="K565" t="s">
        <v>202</v>
      </c>
      <c r="L565" t="s">
        <v>156</v>
      </c>
    </row>
    <row r="566" spans="1:12" x14ac:dyDescent="0.25">
      <c r="A566" t="s">
        <v>5</v>
      </c>
      <c r="B566" s="14" t="s">
        <v>25</v>
      </c>
      <c r="C566" t="s">
        <v>332</v>
      </c>
      <c r="D566" t="s">
        <v>5</v>
      </c>
      <c r="E566" t="s">
        <v>332</v>
      </c>
      <c r="F566" t="s">
        <v>332</v>
      </c>
      <c r="G566" t="s">
        <v>0</v>
      </c>
      <c r="H566" s="15" t="s">
        <v>154</v>
      </c>
      <c r="I566" s="14">
        <v>2005</v>
      </c>
      <c r="J566" t="s">
        <v>158</v>
      </c>
      <c r="K566" t="s">
        <v>202</v>
      </c>
      <c r="L566" t="s">
        <v>156</v>
      </c>
    </row>
    <row r="567" spans="1:12" x14ac:dyDescent="0.25">
      <c r="A567" t="s">
        <v>5</v>
      </c>
      <c r="B567" s="14" t="s">
        <v>25</v>
      </c>
      <c r="C567" t="s">
        <v>244</v>
      </c>
      <c r="D567" t="s">
        <v>5</v>
      </c>
      <c r="E567" t="s">
        <v>244</v>
      </c>
      <c r="F567" t="s">
        <v>244</v>
      </c>
      <c r="G567" t="s">
        <v>0</v>
      </c>
      <c r="H567" s="15" t="s">
        <v>154</v>
      </c>
      <c r="I567" s="14">
        <v>2005</v>
      </c>
      <c r="J567" t="s">
        <v>158</v>
      </c>
      <c r="K567" t="s">
        <v>202</v>
      </c>
      <c r="L567" t="s">
        <v>156</v>
      </c>
    </row>
    <row r="568" spans="1:12" x14ac:dyDescent="0.25">
      <c r="A568" t="s">
        <v>5</v>
      </c>
      <c r="B568" s="14" t="s">
        <v>25</v>
      </c>
      <c r="C568" t="s">
        <v>243</v>
      </c>
      <c r="D568" t="s">
        <v>5</v>
      </c>
      <c r="E568" t="s">
        <v>243</v>
      </c>
      <c r="F568" t="s">
        <v>243</v>
      </c>
      <c r="G568" t="s">
        <v>0</v>
      </c>
      <c r="H568" s="15" t="s">
        <v>154</v>
      </c>
      <c r="I568" s="14">
        <v>2005</v>
      </c>
      <c r="J568" t="s">
        <v>158</v>
      </c>
      <c r="K568" t="s">
        <v>202</v>
      </c>
      <c r="L568" t="s">
        <v>156</v>
      </c>
    </row>
    <row r="569" spans="1:12" x14ac:dyDescent="0.25">
      <c r="A569" t="s">
        <v>5</v>
      </c>
      <c r="B569" s="14" t="s">
        <v>7</v>
      </c>
      <c r="C569" t="s">
        <v>212</v>
      </c>
      <c r="D569" t="s">
        <v>5</v>
      </c>
      <c r="E569" t="s">
        <v>212</v>
      </c>
      <c r="F569" t="s">
        <v>212</v>
      </c>
      <c r="G569" t="s">
        <v>1</v>
      </c>
      <c r="H569" s="15" t="s">
        <v>154</v>
      </c>
      <c r="I569" s="14">
        <v>2005</v>
      </c>
      <c r="J569" t="s">
        <v>158</v>
      </c>
      <c r="K569" t="s">
        <v>202</v>
      </c>
      <c r="L569" t="s">
        <v>156</v>
      </c>
    </row>
    <row r="570" spans="1:12" x14ac:dyDescent="0.25">
      <c r="A570" t="s">
        <v>5</v>
      </c>
      <c r="B570" s="14" t="s">
        <v>16</v>
      </c>
      <c r="C570" t="s">
        <v>229</v>
      </c>
      <c r="D570" t="s">
        <v>5</v>
      </c>
      <c r="E570" t="s">
        <v>229</v>
      </c>
      <c r="F570" t="s">
        <v>229</v>
      </c>
      <c r="G570" t="s">
        <v>1</v>
      </c>
      <c r="H570" s="15" t="s">
        <v>154</v>
      </c>
      <c r="I570" s="14">
        <v>2005</v>
      </c>
      <c r="J570" t="s">
        <v>158</v>
      </c>
      <c r="K570" t="s">
        <v>202</v>
      </c>
      <c r="L570" t="s">
        <v>156</v>
      </c>
    </row>
    <row r="571" spans="1:12" x14ac:dyDescent="0.25">
      <c r="A571" t="s">
        <v>5</v>
      </c>
      <c r="B571" s="14" t="s">
        <v>16</v>
      </c>
      <c r="C571" t="s">
        <v>230</v>
      </c>
      <c r="D571" t="s">
        <v>5</v>
      </c>
      <c r="E571" t="s">
        <v>230</v>
      </c>
      <c r="F571" t="s">
        <v>230</v>
      </c>
      <c r="G571" t="s">
        <v>1</v>
      </c>
      <c r="H571" s="15" t="s">
        <v>154</v>
      </c>
      <c r="I571" s="14">
        <v>2005</v>
      </c>
      <c r="J571" t="s">
        <v>158</v>
      </c>
      <c r="K571" t="s">
        <v>202</v>
      </c>
      <c r="L571" t="s">
        <v>156</v>
      </c>
    </row>
    <row r="572" spans="1:12" x14ac:dyDescent="0.25">
      <c r="A572" t="s">
        <v>5</v>
      </c>
      <c r="B572" s="14" t="s">
        <v>50</v>
      </c>
      <c r="C572" t="s">
        <v>174</v>
      </c>
      <c r="D572" t="s">
        <v>5</v>
      </c>
      <c r="E572" t="s">
        <v>174</v>
      </c>
      <c r="F572" t="s">
        <v>174</v>
      </c>
      <c r="G572" t="s">
        <v>1</v>
      </c>
      <c r="H572" s="15" t="s">
        <v>154</v>
      </c>
      <c r="I572" s="14">
        <v>2005</v>
      </c>
      <c r="J572" t="s">
        <v>158</v>
      </c>
      <c r="K572" t="s">
        <v>202</v>
      </c>
      <c r="L572" t="s">
        <v>156</v>
      </c>
    </row>
    <row r="573" spans="1:12" x14ac:dyDescent="0.25">
      <c r="A573" t="s">
        <v>5</v>
      </c>
      <c r="B573" s="14" t="s">
        <v>50</v>
      </c>
      <c r="C573" t="s">
        <v>234</v>
      </c>
      <c r="D573" t="s">
        <v>5</v>
      </c>
      <c r="E573" t="s">
        <v>234</v>
      </c>
      <c r="F573" t="s">
        <v>234</v>
      </c>
      <c r="G573" t="s">
        <v>1</v>
      </c>
      <c r="H573" s="15" t="s">
        <v>154</v>
      </c>
      <c r="I573" s="14">
        <v>2005</v>
      </c>
      <c r="J573" t="s">
        <v>158</v>
      </c>
      <c r="K573" t="s">
        <v>202</v>
      </c>
      <c r="L573" t="s">
        <v>156</v>
      </c>
    </row>
    <row r="574" spans="1:12" x14ac:dyDescent="0.25">
      <c r="A574" t="s">
        <v>5</v>
      </c>
      <c r="B574" s="14" t="s">
        <v>50</v>
      </c>
      <c r="C574" t="s">
        <v>172</v>
      </c>
      <c r="D574" t="s">
        <v>5</v>
      </c>
      <c r="E574" t="s">
        <v>172</v>
      </c>
      <c r="F574" t="s">
        <v>172</v>
      </c>
      <c r="G574" t="s">
        <v>1</v>
      </c>
      <c r="H574" s="15" t="s">
        <v>154</v>
      </c>
      <c r="I574" s="14">
        <v>2005</v>
      </c>
      <c r="J574" t="s">
        <v>158</v>
      </c>
      <c r="K574" t="s">
        <v>202</v>
      </c>
      <c r="L574" t="s">
        <v>156</v>
      </c>
    </row>
    <row r="575" spans="1:12" x14ac:dyDescent="0.25">
      <c r="A575" t="s">
        <v>55</v>
      </c>
      <c r="B575" s="14" t="s">
        <v>55</v>
      </c>
      <c r="C575" t="s">
        <v>194</v>
      </c>
      <c r="D575" t="s">
        <v>55</v>
      </c>
      <c r="E575" t="s">
        <v>194</v>
      </c>
      <c r="F575" t="s">
        <v>194</v>
      </c>
      <c r="G575" t="s">
        <v>0</v>
      </c>
      <c r="H575" s="3" t="s">
        <v>143</v>
      </c>
      <c r="I575" s="14">
        <v>2023</v>
      </c>
      <c r="J575" t="s">
        <v>478</v>
      </c>
      <c r="K575" t="s">
        <v>474</v>
      </c>
      <c r="L575" s="16" t="s">
        <v>479</v>
      </c>
    </row>
    <row r="576" spans="1:12" x14ac:dyDescent="0.25">
      <c r="A576" t="s">
        <v>55</v>
      </c>
      <c r="B576" s="14" t="s">
        <v>55</v>
      </c>
      <c r="C576" t="s">
        <v>192</v>
      </c>
      <c r="D576" t="s">
        <v>55</v>
      </c>
      <c r="E576" t="s">
        <v>192</v>
      </c>
      <c r="F576" t="s">
        <v>192</v>
      </c>
      <c r="G576" t="s">
        <v>0</v>
      </c>
      <c r="H576" s="3" t="s">
        <v>143</v>
      </c>
      <c r="I576" s="14">
        <v>2023</v>
      </c>
      <c r="J576" t="s">
        <v>478</v>
      </c>
      <c r="K576" t="s">
        <v>474</v>
      </c>
      <c r="L576" s="16" t="s">
        <v>479</v>
      </c>
    </row>
    <row r="577" spans="1:12" x14ac:dyDescent="0.25">
      <c r="A577" t="s">
        <v>55</v>
      </c>
      <c r="B577" s="14" t="s">
        <v>55</v>
      </c>
      <c r="C577" t="s">
        <v>193</v>
      </c>
      <c r="D577" t="s">
        <v>55</v>
      </c>
      <c r="E577" t="s">
        <v>193</v>
      </c>
      <c r="F577" t="s">
        <v>193</v>
      </c>
      <c r="G577" t="s">
        <v>0</v>
      </c>
      <c r="H577" s="3" t="s">
        <v>143</v>
      </c>
      <c r="I577" s="14">
        <v>2023</v>
      </c>
      <c r="J577" t="s">
        <v>478</v>
      </c>
      <c r="K577" t="s">
        <v>474</v>
      </c>
      <c r="L577" s="16" t="s">
        <v>479</v>
      </c>
    </row>
    <row r="578" spans="1:12" x14ac:dyDescent="0.25">
      <c r="A578" t="s">
        <v>55</v>
      </c>
      <c r="B578" s="14" t="s">
        <v>56</v>
      </c>
      <c r="C578" t="s">
        <v>190</v>
      </c>
      <c r="D578" t="s">
        <v>55</v>
      </c>
      <c r="E578" t="s">
        <v>190</v>
      </c>
      <c r="F578" t="s">
        <v>190</v>
      </c>
      <c r="G578" t="s">
        <v>0</v>
      </c>
      <c r="H578" s="3" t="s">
        <v>143</v>
      </c>
      <c r="I578" s="14">
        <v>2023</v>
      </c>
      <c r="J578" t="s">
        <v>478</v>
      </c>
      <c r="K578" t="s">
        <v>474</v>
      </c>
      <c r="L578" s="16" t="s">
        <v>479</v>
      </c>
    </row>
    <row r="579" spans="1:12" x14ac:dyDescent="0.25">
      <c r="A579" t="s">
        <v>55</v>
      </c>
      <c r="B579" s="14" t="s">
        <v>55</v>
      </c>
      <c r="C579" t="s">
        <v>191</v>
      </c>
      <c r="D579" t="s">
        <v>55</v>
      </c>
      <c r="E579" t="s">
        <v>191</v>
      </c>
      <c r="F579" t="s">
        <v>191</v>
      </c>
      <c r="G579" t="s">
        <v>0</v>
      </c>
      <c r="H579" s="3" t="s">
        <v>143</v>
      </c>
      <c r="I579" s="14">
        <v>2023</v>
      </c>
      <c r="J579" t="s">
        <v>478</v>
      </c>
      <c r="K579" t="s">
        <v>474</v>
      </c>
      <c r="L579" s="16" t="s">
        <v>479</v>
      </c>
    </row>
    <row r="580" spans="1:12" x14ac:dyDescent="0.25">
      <c r="A580" t="s">
        <v>5</v>
      </c>
      <c r="B580" s="14" t="s">
        <v>27</v>
      </c>
      <c r="C580" t="s">
        <v>184</v>
      </c>
      <c r="D580" t="s">
        <v>5</v>
      </c>
      <c r="E580" t="s">
        <v>184</v>
      </c>
      <c r="F580" t="s">
        <v>184</v>
      </c>
      <c r="G580" t="s">
        <v>0</v>
      </c>
      <c r="H580" s="3" t="s">
        <v>143</v>
      </c>
      <c r="I580" s="14">
        <v>2023</v>
      </c>
      <c r="J580" t="s">
        <v>478</v>
      </c>
      <c r="K580" t="s">
        <v>474</v>
      </c>
      <c r="L580" s="16" t="s">
        <v>479</v>
      </c>
    </row>
    <row r="581" spans="1:12" x14ac:dyDescent="0.25">
      <c r="A581" t="s">
        <v>5</v>
      </c>
      <c r="B581" s="14" t="s">
        <v>45</v>
      </c>
      <c r="C581" t="s">
        <v>183</v>
      </c>
      <c r="D581" t="s">
        <v>5</v>
      </c>
      <c r="E581" t="s">
        <v>183</v>
      </c>
      <c r="F581" t="s">
        <v>183</v>
      </c>
      <c r="G581" t="s">
        <v>0</v>
      </c>
      <c r="H581" s="3" t="s">
        <v>143</v>
      </c>
      <c r="I581" s="14">
        <v>2023</v>
      </c>
      <c r="J581" t="s">
        <v>478</v>
      </c>
      <c r="K581" t="s">
        <v>474</v>
      </c>
      <c r="L581" s="16" t="s">
        <v>479</v>
      </c>
    </row>
    <row r="582" spans="1:12" x14ac:dyDescent="0.25">
      <c r="A582" t="s">
        <v>52</v>
      </c>
      <c r="B582" s="14" t="s">
        <v>52</v>
      </c>
      <c r="C582" t="s">
        <v>171</v>
      </c>
      <c r="D582" t="s">
        <v>52</v>
      </c>
      <c r="E582" t="s">
        <v>171</v>
      </c>
      <c r="F582" t="s">
        <v>171</v>
      </c>
      <c r="G582" t="s">
        <v>0</v>
      </c>
      <c r="H582" s="3" t="s">
        <v>143</v>
      </c>
      <c r="I582" s="14">
        <v>2023</v>
      </c>
      <c r="J582" t="s">
        <v>478</v>
      </c>
      <c r="K582" t="s">
        <v>474</v>
      </c>
      <c r="L582" s="16" t="s">
        <v>479</v>
      </c>
    </row>
    <row r="583" spans="1:12" x14ac:dyDescent="0.25">
      <c r="A583" t="s">
        <v>5</v>
      </c>
      <c r="B583" s="14" t="s">
        <v>17</v>
      </c>
      <c r="C583" t="s">
        <v>187</v>
      </c>
      <c r="D583" t="s">
        <v>5</v>
      </c>
      <c r="E583" t="s">
        <v>187</v>
      </c>
      <c r="F583" t="s">
        <v>187</v>
      </c>
      <c r="G583" t="s">
        <v>0</v>
      </c>
      <c r="H583" s="3" t="s">
        <v>143</v>
      </c>
      <c r="I583" s="14">
        <v>2023</v>
      </c>
      <c r="J583" t="s">
        <v>478</v>
      </c>
      <c r="K583" t="s">
        <v>474</v>
      </c>
      <c r="L583" s="16" t="s">
        <v>479</v>
      </c>
    </row>
    <row r="584" spans="1:12" x14ac:dyDescent="0.25">
      <c r="A584" t="s">
        <v>5</v>
      </c>
      <c r="B584" s="14" t="s">
        <v>17</v>
      </c>
      <c r="C584" t="s">
        <v>186</v>
      </c>
      <c r="D584" t="s">
        <v>5</v>
      </c>
      <c r="E584" t="s">
        <v>186</v>
      </c>
      <c r="F584" t="s">
        <v>186</v>
      </c>
      <c r="G584" t="s">
        <v>0</v>
      </c>
      <c r="H584" s="3" t="s">
        <v>143</v>
      </c>
      <c r="I584" s="14">
        <v>2023</v>
      </c>
      <c r="J584" t="s">
        <v>478</v>
      </c>
      <c r="K584" t="s">
        <v>474</v>
      </c>
      <c r="L584" s="16" t="s">
        <v>479</v>
      </c>
    </row>
    <row r="585" spans="1:12" x14ac:dyDescent="0.25">
      <c r="A585" t="s">
        <v>5</v>
      </c>
      <c r="B585" s="14" t="s">
        <v>38</v>
      </c>
      <c r="C585" t="s">
        <v>177</v>
      </c>
      <c r="D585" t="s">
        <v>5</v>
      </c>
      <c r="E585" t="s">
        <v>177</v>
      </c>
      <c r="F585" t="s">
        <v>177</v>
      </c>
      <c r="G585" t="s">
        <v>0</v>
      </c>
      <c r="H585" s="3" t="s">
        <v>143</v>
      </c>
      <c r="I585" s="14">
        <v>2023</v>
      </c>
      <c r="J585" t="s">
        <v>478</v>
      </c>
      <c r="K585" t="s">
        <v>474</v>
      </c>
      <c r="L585" s="16" t="s">
        <v>479</v>
      </c>
    </row>
    <row r="586" spans="1:12" x14ac:dyDescent="0.25">
      <c r="A586" t="s">
        <v>5</v>
      </c>
      <c r="B586" s="14" t="s">
        <v>38</v>
      </c>
      <c r="C586" t="s">
        <v>176</v>
      </c>
      <c r="D586" t="s">
        <v>5</v>
      </c>
      <c r="E586" t="s">
        <v>176</v>
      </c>
      <c r="F586" t="s">
        <v>176</v>
      </c>
      <c r="G586" t="s">
        <v>0</v>
      </c>
      <c r="H586" s="3" t="s">
        <v>143</v>
      </c>
      <c r="I586" s="14">
        <v>2023</v>
      </c>
      <c r="J586" t="s">
        <v>478</v>
      </c>
      <c r="K586" t="s">
        <v>474</v>
      </c>
      <c r="L586" s="16" t="s">
        <v>479</v>
      </c>
    </row>
    <row r="587" spans="1:12" x14ac:dyDescent="0.25">
      <c r="A587" t="s">
        <v>5</v>
      </c>
      <c r="B587" s="14" t="s">
        <v>38</v>
      </c>
      <c r="C587" t="s">
        <v>179</v>
      </c>
      <c r="D587" t="s">
        <v>5</v>
      </c>
      <c r="E587" t="s">
        <v>179</v>
      </c>
      <c r="F587" t="s">
        <v>179</v>
      </c>
      <c r="G587" t="s">
        <v>0</v>
      </c>
      <c r="H587" s="3" t="s">
        <v>143</v>
      </c>
      <c r="I587" s="14">
        <v>2023</v>
      </c>
      <c r="J587" t="s">
        <v>478</v>
      </c>
      <c r="K587" t="s">
        <v>474</v>
      </c>
      <c r="L587" s="16" t="s">
        <v>479</v>
      </c>
    </row>
    <row r="588" spans="1:12" x14ac:dyDescent="0.25">
      <c r="A588" t="s">
        <v>5</v>
      </c>
      <c r="B588" s="14" t="s">
        <v>38</v>
      </c>
      <c r="C588" t="s">
        <v>178</v>
      </c>
      <c r="D588" t="s">
        <v>5</v>
      </c>
      <c r="E588" t="s">
        <v>178</v>
      </c>
      <c r="F588" t="s">
        <v>178</v>
      </c>
      <c r="G588" t="s">
        <v>0</v>
      </c>
      <c r="H588" s="3" t="s">
        <v>143</v>
      </c>
      <c r="I588" s="14">
        <v>2023</v>
      </c>
      <c r="J588" t="s">
        <v>478</v>
      </c>
      <c r="K588" t="s">
        <v>474</v>
      </c>
      <c r="L588" s="16" t="s">
        <v>479</v>
      </c>
    </row>
    <row r="589" spans="1:12" x14ac:dyDescent="0.25">
      <c r="A589" t="s">
        <v>5</v>
      </c>
      <c r="B589" s="14" t="s">
        <v>38</v>
      </c>
      <c r="C589" t="s">
        <v>182</v>
      </c>
      <c r="D589" t="s">
        <v>5</v>
      </c>
      <c r="E589" t="s">
        <v>182</v>
      </c>
      <c r="F589" t="s">
        <v>182</v>
      </c>
      <c r="G589" t="s">
        <v>0</v>
      </c>
      <c r="H589" s="3" t="s">
        <v>143</v>
      </c>
      <c r="I589" s="14">
        <v>2023</v>
      </c>
      <c r="J589" t="s">
        <v>478</v>
      </c>
      <c r="K589" t="s">
        <v>474</v>
      </c>
      <c r="L589" s="16" t="s">
        <v>479</v>
      </c>
    </row>
    <row r="590" spans="1:12" x14ac:dyDescent="0.25">
      <c r="A590" t="s">
        <v>5</v>
      </c>
      <c r="B590" s="14" t="s">
        <v>35</v>
      </c>
      <c r="C590" t="s">
        <v>185</v>
      </c>
      <c r="D590" t="s">
        <v>5</v>
      </c>
      <c r="E590" t="s">
        <v>185</v>
      </c>
      <c r="F590" t="s">
        <v>185</v>
      </c>
      <c r="G590" t="s">
        <v>0</v>
      </c>
      <c r="H590" s="3" t="s">
        <v>143</v>
      </c>
      <c r="I590" s="14">
        <v>2023</v>
      </c>
      <c r="J590" t="s">
        <v>478</v>
      </c>
      <c r="K590" t="s">
        <v>474</v>
      </c>
      <c r="L590" s="16" t="s">
        <v>479</v>
      </c>
    </row>
    <row r="591" spans="1:12" x14ac:dyDescent="0.25">
      <c r="A591" t="s">
        <v>5</v>
      </c>
      <c r="B591" s="14" t="s">
        <v>28</v>
      </c>
      <c r="C591" t="s">
        <v>188</v>
      </c>
      <c r="D591" t="s">
        <v>5</v>
      </c>
      <c r="E591" t="s">
        <v>188</v>
      </c>
      <c r="F591" t="s">
        <v>188</v>
      </c>
      <c r="G591" t="s">
        <v>0</v>
      </c>
      <c r="H591" s="3" t="s">
        <v>143</v>
      </c>
      <c r="I591" s="14">
        <v>2023</v>
      </c>
      <c r="J591" t="s">
        <v>478</v>
      </c>
      <c r="K591" t="s">
        <v>474</v>
      </c>
      <c r="L591" s="16" t="s">
        <v>479</v>
      </c>
    </row>
    <row r="592" spans="1:12" x14ac:dyDescent="0.25">
      <c r="A592" t="s">
        <v>5</v>
      </c>
      <c r="B592" s="14" t="s">
        <v>28</v>
      </c>
      <c r="C592" t="s">
        <v>270</v>
      </c>
      <c r="D592" t="s">
        <v>5</v>
      </c>
      <c r="E592" t="s">
        <v>270</v>
      </c>
      <c r="F592" t="s">
        <v>270</v>
      </c>
      <c r="G592" t="s">
        <v>0</v>
      </c>
      <c r="H592" s="3" t="s">
        <v>143</v>
      </c>
      <c r="I592" s="14">
        <v>2023</v>
      </c>
      <c r="J592" t="s">
        <v>478</v>
      </c>
      <c r="K592" t="s">
        <v>474</v>
      </c>
      <c r="L592" s="16" t="s">
        <v>479</v>
      </c>
    </row>
    <row r="593" spans="1:12" x14ac:dyDescent="0.25">
      <c r="A593" t="s">
        <v>5</v>
      </c>
      <c r="B593" s="14" t="s">
        <v>50</v>
      </c>
      <c r="C593" t="s">
        <v>174</v>
      </c>
      <c r="D593" t="s">
        <v>5</v>
      </c>
      <c r="E593" t="s">
        <v>174</v>
      </c>
      <c r="F593" t="s">
        <v>174</v>
      </c>
      <c r="G593" t="s">
        <v>1</v>
      </c>
      <c r="H593" s="3" t="s">
        <v>143</v>
      </c>
      <c r="I593" s="14">
        <v>2023</v>
      </c>
      <c r="J593" t="s">
        <v>478</v>
      </c>
      <c r="K593" t="s">
        <v>474</v>
      </c>
      <c r="L593" s="16" t="s">
        <v>479</v>
      </c>
    </row>
    <row r="594" spans="1:12" x14ac:dyDescent="0.25">
      <c r="A594" t="s">
        <v>5</v>
      </c>
      <c r="B594" s="14" t="s">
        <v>50</v>
      </c>
      <c r="C594" t="s">
        <v>173</v>
      </c>
      <c r="D594" t="s">
        <v>5</v>
      </c>
      <c r="E594" t="s">
        <v>173</v>
      </c>
      <c r="F594" t="s">
        <v>173</v>
      </c>
      <c r="G594" t="s">
        <v>1</v>
      </c>
      <c r="H594" s="3" t="s">
        <v>143</v>
      </c>
      <c r="I594" s="14">
        <v>2023</v>
      </c>
      <c r="J594" t="s">
        <v>478</v>
      </c>
      <c r="K594" t="s">
        <v>474</v>
      </c>
      <c r="L594" s="16" t="s">
        <v>479</v>
      </c>
    </row>
    <row r="595" spans="1:12" x14ac:dyDescent="0.25">
      <c r="A595" t="s">
        <v>5</v>
      </c>
      <c r="B595" s="14" t="s">
        <v>50</v>
      </c>
      <c r="C595" t="s">
        <v>172</v>
      </c>
      <c r="D595" t="s">
        <v>5</v>
      </c>
      <c r="E595" t="s">
        <v>172</v>
      </c>
      <c r="F595" t="s">
        <v>172</v>
      </c>
      <c r="G595" t="s">
        <v>1</v>
      </c>
      <c r="H595" s="3" t="s">
        <v>143</v>
      </c>
      <c r="I595" s="14">
        <v>2023</v>
      </c>
      <c r="J595" t="s">
        <v>478</v>
      </c>
      <c r="K595" t="s">
        <v>474</v>
      </c>
      <c r="L595" s="16" t="s">
        <v>479</v>
      </c>
    </row>
    <row r="596" spans="1:12" x14ac:dyDescent="0.25">
      <c r="A596" t="s">
        <v>98</v>
      </c>
      <c r="B596" s="14" t="s">
        <v>111</v>
      </c>
      <c r="C596" t="s">
        <v>166</v>
      </c>
      <c r="D596" t="s">
        <v>98</v>
      </c>
      <c r="E596" t="s">
        <v>166</v>
      </c>
      <c r="F596" t="s">
        <v>166</v>
      </c>
      <c r="G596" t="s">
        <v>98</v>
      </c>
      <c r="H596" s="3" t="s">
        <v>143</v>
      </c>
      <c r="I596" s="14">
        <v>2023</v>
      </c>
      <c r="J596" t="s">
        <v>478</v>
      </c>
      <c r="K596" t="s">
        <v>474</v>
      </c>
      <c r="L596" s="16" t="s">
        <v>479</v>
      </c>
    </row>
    <row r="597" spans="1:12" x14ac:dyDescent="0.25">
      <c r="A597" t="s">
        <v>98</v>
      </c>
      <c r="B597" s="14" t="s">
        <v>98</v>
      </c>
      <c r="C597" t="s">
        <v>169</v>
      </c>
      <c r="D597" t="s">
        <v>98</v>
      </c>
      <c r="E597" t="s">
        <v>169</v>
      </c>
      <c r="F597" t="s">
        <v>169</v>
      </c>
      <c r="G597" t="s">
        <v>98</v>
      </c>
      <c r="H597" s="3" t="s">
        <v>143</v>
      </c>
      <c r="I597" s="14">
        <v>2023</v>
      </c>
      <c r="J597" t="s">
        <v>478</v>
      </c>
      <c r="K597" t="s">
        <v>474</v>
      </c>
      <c r="L597" s="16" t="s">
        <v>479</v>
      </c>
    </row>
    <row r="598" spans="1:12" x14ac:dyDescent="0.25">
      <c r="A598" t="s">
        <v>5</v>
      </c>
      <c r="B598" s="14" t="s">
        <v>50</v>
      </c>
      <c r="C598" t="s">
        <v>172</v>
      </c>
      <c r="D598" t="s">
        <v>5</v>
      </c>
      <c r="E598" t="s">
        <v>172</v>
      </c>
      <c r="F598" t="s">
        <v>172</v>
      </c>
      <c r="G598" t="s">
        <v>1</v>
      </c>
      <c r="H598" s="3" t="s">
        <v>143</v>
      </c>
      <c r="I598" s="14">
        <v>2023</v>
      </c>
      <c r="J598" t="s">
        <v>480</v>
      </c>
      <c r="K598" t="s">
        <v>202</v>
      </c>
      <c r="L598" s="16" t="s">
        <v>479</v>
      </c>
    </row>
    <row r="599" spans="1:12" x14ac:dyDescent="0.25">
      <c r="A599" t="s">
        <v>5</v>
      </c>
      <c r="B599" s="14" t="s">
        <v>50</v>
      </c>
      <c r="C599" t="s">
        <v>233</v>
      </c>
      <c r="D599" t="s">
        <v>5</v>
      </c>
      <c r="E599" t="s">
        <v>233</v>
      </c>
      <c r="F599" t="s">
        <v>233</v>
      </c>
      <c r="G599" t="s">
        <v>1</v>
      </c>
      <c r="H599" s="3" t="s">
        <v>143</v>
      </c>
      <c r="I599" s="14">
        <v>2023</v>
      </c>
      <c r="J599" t="s">
        <v>480</v>
      </c>
      <c r="K599" t="s">
        <v>202</v>
      </c>
      <c r="L599" s="16" t="s">
        <v>479</v>
      </c>
    </row>
    <row r="600" spans="1:12" x14ac:dyDescent="0.25">
      <c r="A600" t="s">
        <v>5</v>
      </c>
      <c r="B600" s="14" t="s">
        <v>50</v>
      </c>
      <c r="C600" t="s">
        <v>174</v>
      </c>
      <c r="D600" t="s">
        <v>5</v>
      </c>
      <c r="E600" t="s">
        <v>174</v>
      </c>
      <c r="F600" t="s">
        <v>174</v>
      </c>
      <c r="G600" t="s">
        <v>1</v>
      </c>
      <c r="H600" s="3" t="s">
        <v>143</v>
      </c>
      <c r="I600" s="14">
        <v>2023</v>
      </c>
      <c r="J600" t="s">
        <v>480</v>
      </c>
      <c r="K600" t="s">
        <v>202</v>
      </c>
      <c r="L600" s="16" t="s">
        <v>479</v>
      </c>
    </row>
    <row r="601" spans="1:12" x14ac:dyDescent="0.25">
      <c r="A601" t="s">
        <v>5</v>
      </c>
      <c r="B601" s="14" t="s">
        <v>28</v>
      </c>
      <c r="C601" t="s">
        <v>270</v>
      </c>
      <c r="D601" t="s">
        <v>5</v>
      </c>
      <c r="E601" t="s">
        <v>270</v>
      </c>
      <c r="F601" t="s">
        <v>270</v>
      </c>
      <c r="G601" t="s">
        <v>0</v>
      </c>
      <c r="H601" s="3" t="s">
        <v>143</v>
      </c>
      <c r="I601" s="14">
        <v>2023</v>
      </c>
      <c r="J601" t="s">
        <v>480</v>
      </c>
      <c r="K601" t="s">
        <v>202</v>
      </c>
      <c r="L601" s="16" t="s">
        <v>479</v>
      </c>
    </row>
    <row r="602" spans="1:12" x14ac:dyDescent="0.25">
      <c r="A602" t="s">
        <v>5</v>
      </c>
      <c r="B602" s="14" t="s">
        <v>28</v>
      </c>
      <c r="C602" t="s">
        <v>188</v>
      </c>
      <c r="D602" t="s">
        <v>5</v>
      </c>
      <c r="E602" t="s">
        <v>188</v>
      </c>
      <c r="F602" t="s">
        <v>188</v>
      </c>
      <c r="G602" t="s">
        <v>0</v>
      </c>
      <c r="H602" s="3" t="s">
        <v>143</v>
      </c>
      <c r="I602" s="14">
        <v>2023</v>
      </c>
      <c r="J602" t="s">
        <v>480</v>
      </c>
      <c r="K602" t="s">
        <v>202</v>
      </c>
      <c r="L602" s="16" t="s">
        <v>479</v>
      </c>
    </row>
    <row r="603" spans="1:12" x14ac:dyDescent="0.25">
      <c r="A603" t="s">
        <v>5</v>
      </c>
      <c r="B603" s="14" t="s">
        <v>38</v>
      </c>
      <c r="C603" t="s">
        <v>286</v>
      </c>
      <c r="D603" t="s">
        <v>38</v>
      </c>
      <c r="E603" t="s">
        <v>286</v>
      </c>
      <c r="F603" t="s">
        <v>286</v>
      </c>
      <c r="G603" t="s">
        <v>0</v>
      </c>
      <c r="H603" s="3" t="s">
        <v>143</v>
      </c>
      <c r="I603" s="14">
        <v>2023</v>
      </c>
      <c r="J603" t="s">
        <v>480</v>
      </c>
      <c r="K603" t="s">
        <v>202</v>
      </c>
      <c r="L603" s="16" t="s">
        <v>479</v>
      </c>
    </row>
    <row r="604" spans="1:12" x14ac:dyDescent="0.25">
      <c r="A604" t="s">
        <v>98</v>
      </c>
      <c r="B604" s="14" t="s">
        <v>111</v>
      </c>
      <c r="C604" t="s">
        <v>475</v>
      </c>
      <c r="D604" t="s">
        <v>98</v>
      </c>
      <c r="E604" t="s">
        <v>475</v>
      </c>
      <c r="F604" t="s">
        <v>475</v>
      </c>
      <c r="G604" t="s">
        <v>98</v>
      </c>
      <c r="H604" s="3" t="s">
        <v>143</v>
      </c>
      <c r="I604" s="14">
        <v>2023</v>
      </c>
      <c r="J604" t="s">
        <v>480</v>
      </c>
      <c r="K604" t="s">
        <v>202</v>
      </c>
      <c r="L604" s="16" t="s">
        <v>479</v>
      </c>
    </row>
    <row r="605" spans="1:12" x14ac:dyDescent="0.25">
      <c r="A605" t="s">
        <v>5</v>
      </c>
      <c r="B605" s="14" t="s">
        <v>38</v>
      </c>
      <c r="C605" t="s">
        <v>177</v>
      </c>
      <c r="D605" t="s">
        <v>5</v>
      </c>
      <c r="E605" t="s">
        <v>177</v>
      </c>
      <c r="F605" t="s">
        <v>177</v>
      </c>
      <c r="G605" t="s">
        <v>0</v>
      </c>
      <c r="H605" s="34" t="s">
        <v>481</v>
      </c>
      <c r="I605" s="14">
        <v>2022</v>
      </c>
      <c r="J605" t="s">
        <v>167</v>
      </c>
      <c r="K605" t="s">
        <v>476</v>
      </c>
      <c r="L605" t="s">
        <v>482</v>
      </c>
    </row>
    <row r="606" spans="1:12" x14ac:dyDescent="0.25">
      <c r="A606" t="s">
        <v>5</v>
      </c>
      <c r="B606" s="14" t="s">
        <v>38</v>
      </c>
      <c r="C606" t="s">
        <v>176</v>
      </c>
      <c r="D606" t="s">
        <v>5</v>
      </c>
      <c r="E606" t="s">
        <v>176</v>
      </c>
      <c r="F606" t="s">
        <v>176</v>
      </c>
      <c r="G606" t="s">
        <v>0</v>
      </c>
      <c r="H606" s="34" t="s">
        <v>481</v>
      </c>
      <c r="I606" s="14">
        <v>2022</v>
      </c>
      <c r="J606" t="s">
        <v>167</v>
      </c>
      <c r="K606" t="s">
        <v>476</v>
      </c>
      <c r="L606" t="s">
        <v>482</v>
      </c>
    </row>
    <row r="607" spans="1:12" x14ac:dyDescent="0.25">
      <c r="A607" t="s">
        <v>5</v>
      </c>
      <c r="B607" s="14" t="s">
        <v>38</v>
      </c>
      <c r="C607" t="s">
        <v>204</v>
      </c>
      <c r="D607" t="s">
        <v>5</v>
      </c>
      <c r="E607" t="s">
        <v>204</v>
      </c>
      <c r="F607" t="s">
        <v>204</v>
      </c>
      <c r="G607" t="s">
        <v>0</v>
      </c>
      <c r="H607" s="34" t="s">
        <v>481</v>
      </c>
      <c r="I607" s="14">
        <v>2022</v>
      </c>
      <c r="J607" t="s">
        <v>167</v>
      </c>
      <c r="K607" t="s">
        <v>476</v>
      </c>
      <c r="L607" t="s">
        <v>482</v>
      </c>
    </row>
    <row r="608" spans="1:12" x14ac:dyDescent="0.25">
      <c r="A608" t="s">
        <v>55</v>
      </c>
      <c r="B608" s="14" t="s">
        <v>55</v>
      </c>
      <c r="C608" t="s">
        <v>194</v>
      </c>
      <c r="D608" t="s">
        <v>55</v>
      </c>
      <c r="E608" t="s">
        <v>194</v>
      </c>
      <c r="F608" t="s">
        <v>194</v>
      </c>
      <c r="G608" t="s">
        <v>0</v>
      </c>
      <c r="H608" s="34" t="s">
        <v>481</v>
      </c>
      <c r="I608" s="14">
        <v>2022</v>
      </c>
      <c r="J608" t="s">
        <v>167</v>
      </c>
      <c r="K608" t="s">
        <v>476</v>
      </c>
      <c r="L608" t="s">
        <v>482</v>
      </c>
    </row>
    <row r="609" spans="1:12" x14ac:dyDescent="0.25">
      <c r="A609" t="s">
        <v>55</v>
      </c>
      <c r="B609" s="14" t="s">
        <v>55</v>
      </c>
      <c r="C609" t="s">
        <v>192</v>
      </c>
      <c r="D609" t="s">
        <v>55</v>
      </c>
      <c r="E609" t="s">
        <v>192</v>
      </c>
      <c r="F609" t="s">
        <v>192</v>
      </c>
      <c r="G609" t="s">
        <v>0</v>
      </c>
      <c r="H609" s="34" t="s">
        <v>481</v>
      </c>
      <c r="I609" s="14">
        <v>2022</v>
      </c>
      <c r="J609" t="s">
        <v>167</v>
      </c>
      <c r="K609" t="s">
        <v>476</v>
      </c>
      <c r="L609" t="s">
        <v>482</v>
      </c>
    </row>
    <row r="610" spans="1:12" x14ac:dyDescent="0.25">
      <c r="A610" t="s">
        <v>5</v>
      </c>
      <c r="B610" s="14" t="s">
        <v>7</v>
      </c>
      <c r="C610" t="s">
        <v>212</v>
      </c>
      <c r="D610" t="s">
        <v>5</v>
      </c>
      <c r="E610" t="s">
        <v>212</v>
      </c>
      <c r="F610" t="s">
        <v>212</v>
      </c>
      <c r="G610" t="s">
        <v>1</v>
      </c>
      <c r="H610" s="34" t="s">
        <v>481</v>
      </c>
      <c r="I610" s="14">
        <v>2022</v>
      </c>
      <c r="J610" t="s">
        <v>167</v>
      </c>
      <c r="K610" t="s">
        <v>476</v>
      </c>
      <c r="L610" t="s">
        <v>482</v>
      </c>
    </row>
    <row r="611" spans="1:12" x14ac:dyDescent="0.25">
      <c r="A611" t="s">
        <v>5</v>
      </c>
      <c r="B611" s="14" t="s">
        <v>50</v>
      </c>
      <c r="C611" t="s">
        <v>172</v>
      </c>
      <c r="D611" t="s">
        <v>5</v>
      </c>
      <c r="E611" t="s">
        <v>172</v>
      </c>
      <c r="F611" t="s">
        <v>172</v>
      </c>
      <c r="G611" t="s">
        <v>1</v>
      </c>
      <c r="H611" s="34" t="s">
        <v>481</v>
      </c>
      <c r="I611" s="14">
        <v>2022</v>
      </c>
      <c r="J611" t="s">
        <v>167</v>
      </c>
      <c r="K611" t="s">
        <v>476</v>
      </c>
      <c r="L611" t="s">
        <v>482</v>
      </c>
    </row>
    <row r="612" spans="1:12" x14ac:dyDescent="0.25">
      <c r="A612" t="s">
        <v>5</v>
      </c>
      <c r="B612" s="14" t="s">
        <v>50</v>
      </c>
      <c r="C612" t="s">
        <v>173</v>
      </c>
      <c r="D612" t="s">
        <v>5</v>
      </c>
      <c r="E612" t="s">
        <v>173</v>
      </c>
      <c r="F612" t="s">
        <v>173</v>
      </c>
      <c r="G612" t="s">
        <v>1</v>
      </c>
      <c r="H612" s="34" t="s">
        <v>481</v>
      </c>
      <c r="I612" s="14">
        <v>2022</v>
      </c>
      <c r="J612" t="s">
        <v>167</v>
      </c>
      <c r="K612" t="s">
        <v>476</v>
      </c>
      <c r="L612" t="s">
        <v>482</v>
      </c>
    </row>
    <row r="613" spans="1:12" x14ac:dyDescent="0.25">
      <c r="A613" t="s">
        <v>98</v>
      </c>
      <c r="B613" s="14" t="s">
        <v>111</v>
      </c>
      <c r="C613" t="s">
        <v>166</v>
      </c>
      <c r="D613" t="s">
        <v>98</v>
      </c>
      <c r="E613" t="s">
        <v>166</v>
      </c>
      <c r="F613" t="s">
        <v>166</v>
      </c>
      <c r="G613" t="s">
        <v>98</v>
      </c>
      <c r="H613" s="34" t="s">
        <v>481</v>
      </c>
      <c r="I613" s="14">
        <v>2022</v>
      </c>
      <c r="J613" t="s">
        <v>167</v>
      </c>
      <c r="K613" t="s">
        <v>476</v>
      </c>
      <c r="L613" t="s">
        <v>482</v>
      </c>
    </row>
    <row r="614" spans="1:12" x14ac:dyDescent="0.25">
      <c r="A614" t="s">
        <v>98</v>
      </c>
      <c r="B614" s="14" t="s">
        <v>98</v>
      </c>
      <c r="C614" t="s">
        <v>169</v>
      </c>
      <c r="D614" t="s">
        <v>98</v>
      </c>
      <c r="E614" t="s">
        <v>169</v>
      </c>
      <c r="F614" t="s">
        <v>169</v>
      </c>
      <c r="G614" t="s">
        <v>98</v>
      </c>
      <c r="H614" s="34" t="s">
        <v>481</v>
      </c>
      <c r="I614" s="14">
        <v>2022</v>
      </c>
      <c r="J614" t="s">
        <v>167</v>
      </c>
      <c r="K614" t="s">
        <v>476</v>
      </c>
      <c r="L614" t="s">
        <v>482</v>
      </c>
    </row>
    <row r="615" spans="1:12" x14ac:dyDescent="0.25">
      <c r="A615" t="s">
        <v>5</v>
      </c>
      <c r="B615" s="14" t="s">
        <v>38</v>
      </c>
      <c r="C615" t="s">
        <v>355</v>
      </c>
      <c r="D615" t="s">
        <v>38</v>
      </c>
      <c r="E615" t="s">
        <v>355</v>
      </c>
      <c r="F615" t="s">
        <v>355</v>
      </c>
      <c r="G615" t="s">
        <v>0</v>
      </c>
      <c r="H615" s="36" t="s">
        <v>483</v>
      </c>
      <c r="I615" s="14">
        <v>2012</v>
      </c>
      <c r="J615" t="s">
        <v>484</v>
      </c>
      <c r="K615" t="s">
        <v>485</v>
      </c>
      <c r="L615" t="s">
        <v>486</v>
      </c>
    </row>
    <row r="616" spans="1:12" x14ac:dyDescent="0.25">
      <c r="A616" t="s">
        <v>5</v>
      </c>
      <c r="B616" s="14" t="s">
        <v>38</v>
      </c>
      <c r="C616" t="s">
        <v>301</v>
      </c>
      <c r="D616" t="s">
        <v>38</v>
      </c>
      <c r="E616" t="s">
        <v>301</v>
      </c>
      <c r="F616" t="s">
        <v>301</v>
      </c>
      <c r="G616" t="s">
        <v>0</v>
      </c>
      <c r="H616" s="36" t="s">
        <v>483</v>
      </c>
      <c r="I616" s="14">
        <v>2012</v>
      </c>
      <c r="J616" t="s">
        <v>484</v>
      </c>
      <c r="K616" t="s">
        <v>485</v>
      </c>
      <c r="L616" t="s">
        <v>486</v>
      </c>
    </row>
    <row r="617" spans="1:12" x14ac:dyDescent="0.25">
      <c r="A617" t="s">
        <v>5</v>
      </c>
      <c r="B617" s="14" t="s">
        <v>38</v>
      </c>
      <c r="C617" t="s">
        <v>175</v>
      </c>
      <c r="D617" t="s">
        <v>38</v>
      </c>
      <c r="E617" t="s">
        <v>175</v>
      </c>
      <c r="F617" t="s">
        <v>175</v>
      </c>
      <c r="G617" t="s">
        <v>0</v>
      </c>
      <c r="H617" s="36" t="s">
        <v>483</v>
      </c>
      <c r="I617" s="14">
        <v>2012</v>
      </c>
      <c r="J617" t="s">
        <v>484</v>
      </c>
      <c r="K617" t="s">
        <v>485</v>
      </c>
      <c r="L617" t="s">
        <v>486</v>
      </c>
    </row>
    <row r="618" spans="1:12" x14ac:dyDescent="0.25">
      <c r="A618" t="s">
        <v>5</v>
      </c>
      <c r="B618" s="14" t="s">
        <v>38</v>
      </c>
      <c r="C618" t="s">
        <v>369</v>
      </c>
      <c r="D618" t="s">
        <v>38</v>
      </c>
      <c r="E618" t="s">
        <v>369</v>
      </c>
      <c r="F618" t="s">
        <v>369</v>
      </c>
      <c r="G618" t="s">
        <v>0</v>
      </c>
      <c r="H618" s="36" t="s">
        <v>483</v>
      </c>
      <c r="I618" s="14">
        <v>2012</v>
      </c>
      <c r="J618" t="s">
        <v>484</v>
      </c>
      <c r="K618" t="s">
        <v>485</v>
      </c>
      <c r="L618" t="s">
        <v>486</v>
      </c>
    </row>
    <row r="619" spans="1:12" x14ac:dyDescent="0.25">
      <c r="A619" t="s">
        <v>5</v>
      </c>
      <c r="B619" s="14" t="s">
        <v>38</v>
      </c>
      <c r="C619" t="s">
        <v>367</v>
      </c>
      <c r="D619" t="s">
        <v>38</v>
      </c>
      <c r="E619" t="s">
        <v>367</v>
      </c>
      <c r="F619" t="s">
        <v>367</v>
      </c>
      <c r="G619" t="s">
        <v>0</v>
      </c>
      <c r="H619" s="36" t="s">
        <v>483</v>
      </c>
      <c r="I619" s="14">
        <v>2012</v>
      </c>
      <c r="J619" t="s">
        <v>484</v>
      </c>
      <c r="K619" t="s">
        <v>485</v>
      </c>
      <c r="L619" t="s">
        <v>486</v>
      </c>
    </row>
    <row r="620" spans="1:12" x14ac:dyDescent="0.25">
      <c r="A620" t="s">
        <v>5</v>
      </c>
      <c r="B620" s="14" t="s">
        <v>38</v>
      </c>
      <c r="C620" t="s">
        <v>374</v>
      </c>
      <c r="D620" t="s">
        <v>38</v>
      </c>
      <c r="E620" t="s">
        <v>374</v>
      </c>
      <c r="F620" t="s">
        <v>374</v>
      </c>
      <c r="G620" t="s">
        <v>0</v>
      </c>
      <c r="H620" s="36" t="s">
        <v>483</v>
      </c>
      <c r="I620" s="14">
        <v>2012</v>
      </c>
      <c r="J620" t="s">
        <v>484</v>
      </c>
      <c r="K620" t="s">
        <v>485</v>
      </c>
      <c r="L620" t="s">
        <v>486</v>
      </c>
    </row>
    <row r="621" spans="1:12" x14ac:dyDescent="0.25">
      <c r="A621" t="s">
        <v>5</v>
      </c>
      <c r="B621" s="14" t="s">
        <v>38</v>
      </c>
      <c r="C621" t="s">
        <v>376</v>
      </c>
      <c r="D621" t="s">
        <v>38</v>
      </c>
      <c r="E621" t="s">
        <v>376</v>
      </c>
      <c r="F621" t="s">
        <v>376</v>
      </c>
      <c r="G621" t="s">
        <v>0</v>
      </c>
      <c r="H621" s="36" t="s">
        <v>483</v>
      </c>
      <c r="I621" s="14">
        <v>2012</v>
      </c>
      <c r="J621" t="s">
        <v>484</v>
      </c>
      <c r="K621" t="s">
        <v>485</v>
      </c>
      <c r="L621" t="s">
        <v>486</v>
      </c>
    </row>
    <row r="622" spans="1:12" x14ac:dyDescent="0.25">
      <c r="A622" t="s">
        <v>5</v>
      </c>
      <c r="B622" s="14" t="s">
        <v>38</v>
      </c>
      <c r="C622" t="s">
        <v>293</v>
      </c>
      <c r="D622" t="s">
        <v>38</v>
      </c>
      <c r="E622" t="s">
        <v>293</v>
      </c>
      <c r="F622" t="s">
        <v>293</v>
      </c>
      <c r="G622" t="s">
        <v>0</v>
      </c>
      <c r="H622" s="36" t="s">
        <v>483</v>
      </c>
      <c r="I622" s="14">
        <v>2012</v>
      </c>
      <c r="J622" t="s">
        <v>484</v>
      </c>
      <c r="K622" t="s">
        <v>485</v>
      </c>
      <c r="L622" t="s">
        <v>486</v>
      </c>
    </row>
    <row r="623" spans="1:12" x14ac:dyDescent="0.25">
      <c r="A623" t="s">
        <v>5</v>
      </c>
      <c r="B623" s="14" t="s">
        <v>38</v>
      </c>
      <c r="C623" t="s">
        <v>364</v>
      </c>
      <c r="D623" t="s">
        <v>38</v>
      </c>
      <c r="E623" t="s">
        <v>364</v>
      </c>
      <c r="F623" t="s">
        <v>364</v>
      </c>
      <c r="G623" t="s">
        <v>0</v>
      </c>
      <c r="H623" s="36" t="s">
        <v>483</v>
      </c>
      <c r="I623" s="14">
        <v>2012</v>
      </c>
      <c r="J623" t="s">
        <v>484</v>
      </c>
      <c r="K623" t="s">
        <v>485</v>
      </c>
      <c r="L623" t="s">
        <v>486</v>
      </c>
    </row>
    <row r="624" spans="1:12" x14ac:dyDescent="0.25">
      <c r="A624" t="s">
        <v>5</v>
      </c>
      <c r="B624" s="14" t="s">
        <v>38</v>
      </c>
      <c r="C624" t="s">
        <v>289</v>
      </c>
      <c r="D624" t="s">
        <v>38</v>
      </c>
      <c r="E624" t="s">
        <v>289</v>
      </c>
      <c r="F624" t="s">
        <v>289</v>
      </c>
      <c r="G624" t="s">
        <v>0</v>
      </c>
      <c r="H624" s="36" t="s">
        <v>483</v>
      </c>
      <c r="I624" s="14">
        <v>2012</v>
      </c>
      <c r="J624" t="s">
        <v>484</v>
      </c>
      <c r="K624" t="s">
        <v>485</v>
      </c>
      <c r="L624" t="s">
        <v>486</v>
      </c>
    </row>
    <row r="625" spans="1:12" x14ac:dyDescent="0.25">
      <c r="A625" t="s">
        <v>5</v>
      </c>
      <c r="B625" s="14" t="s">
        <v>38</v>
      </c>
      <c r="C625" t="s">
        <v>203</v>
      </c>
      <c r="D625" t="s">
        <v>38</v>
      </c>
      <c r="E625" t="s">
        <v>203</v>
      </c>
      <c r="F625" t="s">
        <v>203</v>
      </c>
      <c r="G625" t="s">
        <v>0</v>
      </c>
      <c r="H625" s="36" t="s">
        <v>483</v>
      </c>
      <c r="I625" s="14">
        <v>2012</v>
      </c>
      <c r="J625" t="s">
        <v>484</v>
      </c>
      <c r="K625" t="s">
        <v>485</v>
      </c>
      <c r="L625" t="s">
        <v>486</v>
      </c>
    </row>
    <row r="626" spans="1:12" x14ac:dyDescent="0.25">
      <c r="A626" t="s">
        <v>5</v>
      </c>
      <c r="B626" s="14" t="s">
        <v>38</v>
      </c>
      <c r="C626" t="s">
        <v>204</v>
      </c>
      <c r="D626" t="s">
        <v>38</v>
      </c>
      <c r="E626" t="s">
        <v>204</v>
      </c>
      <c r="F626" t="s">
        <v>204</v>
      </c>
      <c r="G626" t="s">
        <v>0</v>
      </c>
      <c r="H626" s="36" t="s">
        <v>483</v>
      </c>
      <c r="I626" s="14">
        <v>2012</v>
      </c>
      <c r="J626" t="s">
        <v>484</v>
      </c>
      <c r="K626" t="s">
        <v>485</v>
      </c>
      <c r="L626" t="s">
        <v>486</v>
      </c>
    </row>
    <row r="627" spans="1:12" x14ac:dyDescent="0.25">
      <c r="A627" t="s">
        <v>5</v>
      </c>
      <c r="B627" s="14" t="s">
        <v>50</v>
      </c>
      <c r="C627" t="s">
        <v>172</v>
      </c>
      <c r="D627" t="s">
        <v>5</v>
      </c>
      <c r="E627" t="s">
        <v>172</v>
      </c>
      <c r="F627" t="s">
        <v>172</v>
      </c>
      <c r="G627" t="s">
        <v>1</v>
      </c>
      <c r="H627" s="36" t="s">
        <v>483</v>
      </c>
      <c r="I627" s="14">
        <v>2012</v>
      </c>
      <c r="J627" t="s">
        <v>484</v>
      </c>
      <c r="K627" t="s">
        <v>485</v>
      </c>
      <c r="L627" t="s">
        <v>486</v>
      </c>
    </row>
    <row r="628" spans="1:12" x14ac:dyDescent="0.25">
      <c r="A628" t="s">
        <v>5</v>
      </c>
      <c r="B628" s="14" t="s">
        <v>5</v>
      </c>
      <c r="C628" t="s">
        <v>217</v>
      </c>
      <c r="D628" t="s">
        <v>5</v>
      </c>
      <c r="E628" t="s">
        <v>217</v>
      </c>
      <c r="F628" t="s">
        <v>217</v>
      </c>
      <c r="G628" t="s">
        <v>1</v>
      </c>
      <c r="H628" s="36" t="s">
        <v>483</v>
      </c>
      <c r="I628" s="14">
        <v>2012</v>
      </c>
      <c r="J628" t="s">
        <v>484</v>
      </c>
      <c r="K628" t="s">
        <v>485</v>
      </c>
      <c r="L628" t="s">
        <v>486</v>
      </c>
    </row>
    <row r="629" spans="1:12" x14ac:dyDescent="0.25">
      <c r="A629" t="s">
        <v>5</v>
      </c>
      <c r="B629" s="14" t="s">
        <v>28</v>
      </c>
      <c r="C629" t="s">
        <v>188</v>
      </c>
      <c r="D629" t="s">
        <v>5</v>
      </c>
      <c r="E629" t="s">
        <v>188</v>
      </c>
      <c r="F629" t="s">
        <v>188</v>
      </c>
      <c r="G629" t="s">
        <v>0</v>
      </c>
      <c r="H629" s="37" t="s">
        <v>487</v>
      </c>
      <c r="I629" s="14">
        <v>2024</v>
      </c>
      <c r="J629" t="s">
        <v>488</v>
      </c>
      <c r="K629" t="s">
        <v>202</v>
      </c>
      <c r="L629" t="s">
        <v>489</v>
      </c>
    </row>
    <row r="630" spans="1:12" x14ac:dyDescent="0.25">
      <c r="A630" t="s">
        <v>5</v>
      </c>
      <c r="B630" s="14" t="s">
        <v>28</v>
      </c>
      <c r="C630" t="s">
        <v>270</v>
      </c>
      <c r="D630" t="s">
        <v>5</v>
      </c>
      <c r="E630" t="s">
        <v>270</v>
      </c>
      <c r="F630" t="s">
        <v>270</v>
      </c>
      <c r="G630" t="s">
        <v>0</v>
      </c>
      <c r="H630" s="37" t="s">
        <v>487</v>
      </c>
      <c r="I630" s="14">
        <v>2024</v>
      </c>
      <c r="J630" t="s">
        <v>488</v>
      </c>
      <c r="K630" t="s">
        <v>202</v>
      </c>
      <c r="L630" t="s">
        <v>489</v>
      </c>
    </row>
    <row r="631" spans="1:12" x14ac:dyDescent="0.25">
      <c r="A631" t="s">
        <v>5</v>
      </c>
      <c r="B631" s="14" t="s">
        <v>12</v>
      </c>
      <c r="C631" t="s">
        <v>181</v>
      </c>
      <c r="D631" t="s">
        <v>5</v>
      </c>
      <c r="E631" t="s">
        <v>181</v>
      </c>
      <c r="F631" t="s">
        <v>181</v>
      </c>
      <c r="G631" t="s">
        <v>0</v>
      </c>
      <c r="H631" s="37" t="s">
        <v>487</v>
      </c>
      <c r="I631" s="14">
        <v>2024</v>
      </c>
      <c r="J631" t="s">
        <v>488</v>
      </c>
      <c r="K631" t="s">
        <v>202</v>
      </c>
      <c r="L631" t="s">
        <v>489</v>
      </c>
    </row>
    <row r="632" spans="1:12" x14ac:dyDescent="0.25">
      <c r="A632" t="s">
        <v>5</v>
      </c>
      <c r="B632" s="14" t="s">
        <v>51</v>
      </c>
      <c r="C632" t="s">
        <v>322</v>
      </c>
      <c r="D632" t="s">
        <v>5</v>
      </c>
      <c r="E632" t="s">
        <v>322</v>
      </c>
      <c r="F632" t="s">
        <v>322</v>
      </c>
      <c r="G632" t="s">
        <v>0</v>
      </c>
      <c r="H632" s="37" t="s">
        <v>487</v>
      </c>
      <c r="I632" s="14">
        <v>2024</v>
      </c>
      <c r="J632" t="s">
        <v>488</v>
      </c>
      <c r="K632" t="s">
        <v>202</v>
      </c>
      <c r="L632" t="s">
        <v>489</v>
      </c>
    </row>
    <row r="633" spans="1:12" x14ac:dyDescent="0.25">
      <c r="A633" t="s">
        <v>5</v>
      </c>
      <c r="B633" s="14" t="s">
        <v>51</v>
      </c>
      <c r="C633" t="s">
        <v>323</v>
      </c>
      <c r="D633" t="s">
        <v>5</v>
      </c>
      <c r="E633" t="s">
        <v>323</v>
      </c>
      <c r="F633" t="s">
        <v>323</v>
      </c>
      <c r="G633" t="s">
        <v>0</v>
      </c>
      <c r="H633" s="37" t="s">
        <v>487</v>
      </c>
      <c r="I633" s="14">
        <v>2024</v>
      </c>
      <c r="J633" t="s">
        <v>488</v>
      </c>
      <c r="K633" t="s">
        <v>202</v>
      </c>
      <c r="L633" t="s">
        <v>489</v>
      </c>
    </row>
    <row r="634" spans="1:12" x14ac:dyDescent="0.25">
      <c r="A634" t="s">
        <v>5</v>
      </c>
      <c r="B634" s="14" t="s">
        <v>14</v>
      </c>
      <c r="C634" t="s">
        <v>210</v>
      </c>
      <c r="D634" t="s">
        <v>5</v>
      </c>
      <c r="E634" t="s">
        <v>210</v>
      </c>
      <c r="F634" t="s">
        <v>210</v>
      </c>
      <c r="G634" t="s">
        <v>0</v>
      </c>
      <c r="H634" s="37" t="s">
        <v>487</v>
      </c>
      <c r="I634" s="14">
        <v>2024</v>
      </c>
      <c r="J634" t="s">
        <v>488</v>
      </c>
      <c r="K634" t="s">
        <v>202</v>
      </c>
      <c r="L634" t="s">
        <v>489</v>
      </c>
    </row>
    <row r="635" spans="1:12" x14ac:dyDescent="0.25">
      <c r="A635" t="s">
        <v>5</v>
      </c>
      <c r="B635" s="14" t="s">
        <v>45</v>
      </c>
      <c r="C635" t="s">
        <v>183</v>
      </c>
      <c r="D635" t="s">
        <v>5</v>
      </c>
      <c r="E635" t="s">
        <v>183</v>
      </c>
      <c r="F635" t="s">
        <v>183</v>
      </c>
      <c r="G635" t="s">
        <v>0</v>
      </c>
      <c r="H635" s="37" t="s">
        <v>487</v>
      </c>
      <c r="I635" s="14">
        <v>2024</v>
      </c>
      <c r="J635" t="s">
        <v>488</v>
      </c>
      <c r="K635" t="s">
        <v>202</v>
      </c>
      <c r="L635" t="s">
        <v>489</v>
      </c>
    </row>
    <row r="636" spans="1:12" x14ac:dyDescent="0.25">
      <c r="A636" t="s">
        <v>5</v>
      </c>
      <c r="B636" s="14" t="s">
        <v>29</v>
      </c>
      <c r="C636" t="s">
        <v>283</v>
      </c>
      <c r="D636" t="s">
        <v>5</v>
      </c>
      <c r="E636" t="s">
        <v>283</v>
      </c>
      <c r="F636" t="s">
        <v>283</v>
      </c>
      <c r="G636" t="s">
        <v>0</v>
      </c>
      <c r="H636" s="37" t="s">
        <v>487</v>
      </c>
      <c r="I636" s="14">
        <v>2024</v>
      </c>
      <c r="J636" t="s">
        <v>488</v>
      </c>
      <c r="K636" t="s">
        <v>202</v>
      </c>
      <c r="L636" t="s">
        <v>489</v>
      </c>
    </row>
    <row r="637" spans="1:12" x14ac:dyDescent="0.25">
      <c r="A637" t="s">
        <v>5</v>
      </c>
      <c r="B637" s="14" t="s">
        <v>17</v>
      </c>
      <c r="C637" t="s">
        <v>187</v>
      </c>
      <c r="D637" t="s">
        <v>5</v>
      </c>
      <c r="E637" t="s">
        <v>187</v>
      </c>
      <c r="F637" t="s">
        <v>187</v>
      </c>
      <c r="G637" t="s">
        <v>0</v>
      </c>
      <c r="H637" s="37" t="s">
        <v>487</v>
      </c>
      <c r="I637" s="14">
        <v>2024</v>
      </c>
      <c r="J637" t="s">
        <v>488</v>
      </c>
      <c r="K637" t="s">
        <v>202</v>
      </c>
      <c r="L637" t="s">
        <v>489</v>
      </c>
    </row>
    <row r="638" spans="1:12" x14ac:dyDescent="0.25">
      <c r="A638" t="s">
        <v>5</v>
      </c>
      <c r="B638" s="14" t="s">
        <v>18</v>
      </c>
      <c r="C638" t="s">
        <v>383</v>
      </c>
      <c r="D638" t="s">
        <v>5</v>
      </c>
      <c r="E638" t="s">
        <v>383</v>
      </c>
      <c r="F638" t="s">
        <v>383</v>
      </c>
      <c r="G638" t="s">
        <v>0</v>
      </c>
      <c r="H638" s="37" t="s">
        <v>487</v>
      </c>
      <c r="I638" s="14">
        <v>2024</v>
      </c>
      <c r="J638" t="s">
        <v>488</v>
      </c>
      <c r="K638" t="s">
        <v>202</v>
      </c>
      <c r="L638" t="s">
        <v>489</v>
      </c>
    </row>
    <row r="639" spans="1:12" x14ac:dyDescent="0.25">
      <c r="A639" t="s">
        <v>5</v>
      </c>
      <c r="B639" s="14" t="s">
        <v>10</v>
      </c>
      <c r="C639" t="s">
        <v>334</v>
      </c>
      <c r="D639" t="s">
        <v>5</v>
      </c>
      <c r="E639" t="s">
        <v>334</v>
      </c>
      <c r="F639" t="s">
        <v>334</v>
      </c>
      <c r="G639" t="s">
        <v>0</v>
      </c>
      <c r="H639" s="37" t="s">
        <v>487</v>
      </c>
      <c r="I639" s="14">
        <v>2024</v>
      </c>
      <c r="J639" t="s">
        <v>488</v>
      </c>
      <c r="K639" t="s">
        <v>202</v>
      </c>
      <c r="L639" t="s">
        <v>489</v>
      </c>
    </row>
    <row r="640" spans="1:12" x14ac:dyDescent="0.25">
      <c r="A640" t="s">
        <v>5</v>
      </c>
      <c r="B640" s="14" t="s">
        <v>6</v>
      </c>
      <c r="C640" t="s">
        <v>378</v>
      </c>
      <c r="D640" t="s">
        <v>5</v>
      </c>
      <c r="E640" t="s">
        <v>378</v>
      </c>
      <c r="F640" t="s">
        <v>378</v>
      </c>
      <c r="G640" t="s">
        <v>0</v>
      </c>
      <c r="H640" s="37" t="s">
        <v>487</v>
      </c>
      <c r="I640" s="14">
        <v>2024</v>
      </c>
      <c r="J640" t="s">
        <v>488</v>
      </c>
      <c r="K640" t="s">
        <v>202</v>
      </c>
      <c r="L640" t="s">
        <v>489</v>
      </c>
    </row>
    <row r="641" spans="1:12" x14ac:dyDescent="0.25">
      <c r="A641" t="s">
        <v>5</v>
      </c>
      <c r="B641" s="14" t="s">
        <v>6</v>
      </c>
      <c r="C641" t="s">
        <v>379</v>
      </c>
      <c r="D641" t="s">
        <v>5</v>
      </c>
      <c r="E641" t="s">
        <v>379</v>
      </c>
      <c r="F641" t="s">
        <v>379</v>
      </c>
      <c r="G641" t="s">
        <v>0</v>
      </c>
      <c r="H641" s="37" t="s">
        <v>487</v>
      </c>
      <c r="I641" s="14">
        <v>2024</v>
      </c>
      <c r="J641" t="s">
        <v>488</v>
      </c>
      <c r="K641" t="s">
        <v>202</v>
      </c>
      <c r="L641" t="s">
        <v>489</v>
      </c>
    </row>
    <row r="642" spans="1:12" x14ac:dyDescent="0.25">
      <c r="A642" t="s">
        <v>5</v>
      </c>
      <c r="B642" s="14" t="s">
        <v>38</v>
      </c>
      <c r="C642" t="s">
        <v>266</v>
      </c>
      <c r="D642" t="s">
        <v>5</v>
      </c>
      <c r="E642" t="s">
        <v>266</v>
      </c>
      <c r="F642" t="s">
        <v>266</v>
      </c>
      <c r="G642" t="s">
        <v>0</v>
      </c>
      <c r="H642" s="37" t="s">
        <v>487</v>
      </c>
      <c r="I642" s="14">
        <v>2024</v>
      </c>
      <c r="J642" t="s">
        <v>488</v>
      </c>
      <c r="K642" t="s">
        <v>202</v>
      </c>
      <c r="L642" t="s">
        <v>489</v>
      </c>
    </row>
    <row r="643" spans="1:12" x14ac:dyDescent="0.25">
      <c r="A643" t="s">
        <v>5</v>
      </c>
      <c r="B643" s="14" t="s">
        <v>38</v>
      </c>
      <c r="C643" t="s">
        <v>376</v>
      </c>
      <c r="D643" t="s">
        <v>5</v>
      </c>
      <c r="E643" t="s">
        <v>376</v>
      </c>
      <c r="F643" t="s">
        <v>376</v>
      </c>
      <c r="G643" t="s">
        <v>0</v>
      </c>
      <c r="H643" s="37" t="s">
        <v>487</v>
      </c>
      <c r="I643" s="14">
        <v>2024</v>
      </c>
      <c r="J643" t="s">
        <v>488</v>
      </c>
      <c r="K643" t="s">
        <v>202</v>
      </c>
      <c r="L643" t="s">
        <v>489</v>
      </c>
    </row>
    <row r="644" spans="1:12" x14ac:dyDescent="0.25">
      <c r="A644" t="s">
        <v>5</v>
      </c>
      <c r="B644" s="14" t="s">
        <v>38</v>
      </c>
      <c r="C644" t="s">
        <v>367</v>
      </c>
      <c r="D644" t="s">
        <v>5</v>
      </c>
      <c r="E644" t="s">
        <v>367</v>
      </c>
      <c r="F644" t="s">
        <v>367</v>
      </c>
      <c r="G644" t="s">
        <v>0</v>
      </c>
      <c r="H644" s="37" t="s">
        <v>487</v>
      </c>
      <c r="I644" s="14">
        <v>2024</v>
      </c>
      <c r="J644" t="s">
        <v>488</v>
      </c>
      <c r="K644" t="s">
        <v>202</v>
      </c>
      <c r="L644" t="s">
        <v>489</v>
      </c>
    </row>
    <row r="645" spans="1:12" x14ac:dyDescent="0.25">
      <c r="A645" t="s">
        <v>5</v>
      </c>
      <c r="B645" s="14" t="s">
        <v>38</v>
      </c>
      <c r="C645" t="s">
        <v>260</v>
      </c>
      <c r="D645" t="s">
        <v>5</v>
      </c>
      <c r="E645" t="s">
        <v>260</v>
      </c>
      <c r="F645" t="s">
        <v>260</v>
      </c>
      <c r="G645" t="s">
        <v>0</v>
      </c>
      <c r="H645" s="37" t="s">
        <v>487</v>
      </c>
      <c r="I645" s="14">
        <v>2024</v>
      </c>
      <c r="J645" t="s">
        <v>488</v>
      </c>
      <c r="K645" t="s">
        <v>202</v>
      </c>
      <c r="L645" t="s">
        <v>489</v>
      </c>
    </row>
    <row r="646" spans="1:12" x14ac:dyDescent="0.25">
      <c r="A646" t="s">
        <v>5</v>
      </c>
      <c r="B646" s="14" t="s">
        <v>22</v>
      </c>
      <c r="C646" t="s">
        <v>252</v>
      </c>
      <c r="D646" t="s">
        <v>5</v>
      </c>
      <c r="E646" t="s">
        <v>252</v>
      </c>
      <c r="F646" t="s">
        <v>252</v>
      </c>
      <c r="G646" t="s">
        <v>0</v>
      </c>
      <c r="H646" s="37" t="s">
        <v>487</v>
      </c>
      <c r="I646" s="14">
        <v>2024</v>
      </c>
      <c r="J646" t="s">
        <v>488</v>
      </c>
      <c r="K646" t="s">
        <v>202</v>
      </c>
      <c r="L646" t="s">
        <v>489</v>
      </c>
    </row>
    <row r="647" spans="1:12" x14ac:dyDescent="0.25">
      <c r="A647" t="s">
        <v>5</v>
      </c>
      <c r="B647" s="14" t="s">
        <v>22</v>
      </c>
      <c r="C647" t="s">
        <v>251</v>
      </c>
      <c r="D647" t="s">
        <v>5</v>
      </c>
      <c r="E647" t="s">
        <v>251</v>
      </c>
      <c r="F647" t="s">
        <v>251</v>
      </c>
      <c r="G647" t="s">
        <v>0</v>
      </c>
      <c r="H647" s="37" t="s">
        <v>487</v>
      </c>
      <c r="I647" s="14">
        <v>2024</v>
      </c>
      <c r="J647" t="s">
        <v>488</v>
      </c>
      <c r="K647" t="s">
        <v>202</v>
      </c>
      <c r="L647" t="s">
        <v>489</v>
      </c>
    </row>
    <row r="648" spans="1:12" x14ac:dyDescent="0.25">
      <c r="A648" t="s">
        <v>55</v>
      </c>
      <c r="B648" s="14" t="s">
        <v>55</v>
      </c>
      <c r="C648" t="s">
        <v>193</v>
      </c>
      <c r="D648" t="s">
        <v>55</v>
      </c>
      <c r="E648" t="s">
        <v>193</v>
      </c>
      <c r="F648" t="s">
        <v>193</v>
      </c>
      <c r="G648" t="s">
        <v>0</v>
      </c>
      <c r="H648" s="37" t="s">
        <v>487</v>
      </c>
      <c r="I648" s="14">
        <v>2024</v>
      </c>
      <c r="J648" t="s">
        <v>488</v>
      </c>
      <c r="K648" t="s">
        <v>202</v>
      </c>
      <c r="L648" t="s">
        <v>489</v>
      </c>
    </row>
    <row r="649" spans="1:12" x14ac:dyDescent="0.25">
      <c r="A649" t="s">
        <v>55</v>
      </c>
      <c r="B649" s="14" t="s">
        <v>56</v>
      </c>
      <c r="C649" t="s">
        <v>190</v>
      </c>
      <c r="D649" t="s">
        <v>55</v>
      </c>
      <c r="E649" t="s">
        <v>190</v>
      </c>
      <c r="F649" t="s">
        <v>190</v>
      </c>
      <c r="G649" t="s">
        <v>0</v>
      </c>
      <c r="H649" s="37" t="s">
        <v>487</v>
      </c>
      <c r="I649" s="14">
        <v>2024</v>
      </c>
      <c r="J649" t="s">
        <v>488</v>
      </c>
      <c r="K649" t="s">
        <v>202</v>
      </c>
      <c r="L649" t="s">
        <v>489</v>
      </c>
    </row>
    <row r="650" spans="1:12" x14ac:dyDescent="0.25">
      <c r="A650" t="s">
        <v>5</v>
      </c>
      <c r="B650" s="14" t="s">
        <v>35</v>
      </c>
      <c r="C650" t="s">
        <v>490</v>
      </c>
      <c r="D650" t="s">
        <v>5</v>
      </c>
      <c r="E650" t="s">
        <v>490</v>
      </c>
      <c r="F650" t="s">
        <v>490</v>
      </c>
      <c r="G650" t="s">
        <v>0</v>
      </c>
      <c r="H650" s="37" t="s">
        <v>487</v>
      </c>
      <c r="I650" s="14">
        <v>2024</v>
      </c>
      <c r="J650" t="s">
        <v>488</v>
      </c>
      <c r="K650" t="s">
        <v>202</v>
      </c>
      <c r="L650" t="s">
        <v>489</v>
      </c>
    </row>
    <row r="651" spans="1:12" x14ac:dyDescent="0.25">
      <c r="A651" t="s">
        <v>5</v>
      </c>
      <c r="B651" s="14" t="s">
        <v>35</v>
      </c>
      <c r="C651" t="s">
        <v>185</v>
      </c>
      <c r="D651" t="s">
        <v>5</v>
      </c>
      <c r="E651" t="s">
        <v>185</v>
      </c>
      <c r="F651" t="s">
        <v>185</v>
      </c>
      <c r="G651" t="s">
        <v>0</v>
      </c>
      <c r="H651" s="37" t="s">
        <v>487</v>
      </c>
      <c r="I651" s="14">
        <v>2024</v>
      </c>
      <c r="J651" t="s">
        <v>488</v>
      </c>
      <c r="K651" t="s">
        <v>202</v>
      </c>
      <c r="L651" t="s">
        <v>489</v>
      </c>
    </row>
    <row r="652" spans="1:12" x14ac:dyDescent="0.25">
      <c r="A652" t="s">
        <v>5</v>
      </c>
      <c r="B652" s="14" t="s">
        <v>35</v>
      </c>
      <c r="C652" t="s">
        <v>352</v>
      </c>
      <c r="D652" t="s">
        <v>5</v>
      </c>
      <c r="E652" t="s">
        <v>352</v>
      </c>
      <c r="F652" t="s">
        <v>352</v>
      </c>
      <c r="G652" t="s">
        <v>0</v>
      </c>
      <c r="H652" s="37" t="s">
        <v>487</v>
      </c>
      <c r="I652" s="14">
        <v>2024</v>
      </c>
      <c r="J652" t="s">
        <v>488</v>
      </c>
      <c r="K652" t="s">
        <v>202</v>
      </c>
      <c r="L652" t="s">
        <v>489</v>
      </c>
    </row>
    <row r="653" spans="1:12" x14ac:dyDescent="0.25">
      <c r="A653" t="s">
        <v>5</v>
      </c>
      <c r="B653" s="14" t="s">
        <v>36</v>
      </c>
      <c r="C653" t="s">
        <v>413</v>
      </c>
      <c r="D653" t="s">
        <v>5</v>
      </c>
      <c r="E653" t="s">
        <v>413</v>
      </c>
      <c r="F653" t="s">
        <v>413</v>
      </c>
      <c r="G653" t="s">
        <v>1</v>
      </c>
      <c r="H653" s="37" t="s">
        <v>487</v>
      </c>
      <c r="I653" s="14">
        <v>2024</v>
      </c>
      <c r="J653" t="s">
        <v>488</v>
      </c>
      <c r="K653" t="s">
        <v>202</v>
      </c>
      <c r="L653" t="s">
        <v>489</v>
      </c>
    </row>
    <row r="654" spans="1:12" x14ac:dyDescent="0.25">
      <c r="A654" t="s">
        <v>5</v>
      </c>
      <c r="B654" s="14" t="s">
        <v>36</v>
      </c>
      <c r="C654" t="s">
        <v>414</v>
      </c>
      <c r="D654" t="s">
        <v>5</v>
      </c>
      <c r="E654" t="s">
        <v>414</v>
      </c>
      <c r="F654" t="s">
        <v>414</v>
      </c>
      <c r="G654" t="s">
        <v>1</v>
      </c>
      <c r="H654" s="37" t="s">
        <v>487</v>
      </c>
      <c r="I654" s="14">
        <v>2024</v>
      </c>
      <c r="J654" t="s">
        <v>488</v>
      </c>
      <c r="K654" t="s">
        <v>202</v>
      </c>
      <c r="L654" t="s">
        <v>489</v>
      </c>
    </row>
    <row r="655" spans="1:12" x14ac:dyDescent="0.25">
      <c r="A655" t="s">
        <v>5</v>
      </c>
      <c r="B655" s="14" t="s">
        <v>19</v>
      </c>
      <c r="C655" t="s">
        <v>406</v>
      </c>
      <c r="D655" t="s">
        <v>5</v>
      </c>
      <c r="E655" t="s">
        <v>406</v>
      </c>
      <c r="F655" t="s">
        <v>406</v>
      </c>
      <c r="G655" t="s">
        <v>1</v>
      </c>
      <c r="H655" s="37" t="s">
        <v>487</v>
      </c>
      <c r="I655" s="14">
        <v>2024</v>
      </c>
      <c r="J655" t="s">
        <v>488</v>
      </c>
      <c r="K655" t="s">
        <v>202</v>
      </c>
      <c r="L655" t="s">
        <v>489</v>
      </c>
    </row>
    <row r="656" spans="1:12" x14ac:dyDescent="0.25">
      <c r="A656" t="s">
        <v>5</v>
      </c>
      <c r="B656" s="14" t="s">
        <v>5</v>
      </c>
      <c r="C656" t="s">
        <v>398</v>
      </c>
      <c r="D656" t="s">
        <v>5</v>
      </c>
      <c r="E656" t="s">
        <v>398</v>
      </c>
      <c r="F656" t="s">
        <v>398</v>
      </c>
      <c r="G656" t="s">
        <v>1</v>
      </c>
      <c r="H656" s="37" t="s">
        <v>487</v>
      </c>
      <c r="I656" s="14">
        <v>2024</v>
      </c>
      <c r="J656" t="s">
        <v>488</v>
      </c>
      <c r="K656" t="s">
        <v>202</v>
      </c>
      <c r="L656" t="s">
        <v>489</v>
      </c>
    </row>
    <row r="657" spans="1:12" x14ac:dyDescent="0.25">
      <c r="A657" t="s">
        <v>5</v>
      </c>
      <c r="B657" s="14" t="s">
        <v>5</v>
      </c>
      <c r="C657" t="s">
        <v>217</v>
      </c>
      <c r="D657" t="s">
        <v>5</v>
      </c>
      <c r="E657" t="s">
        <v>217</v>
      </c>
      <c r="F657" t="s">
        <v>217</v>
      </c>
      <c r="G657" t="s">
        <v>1</v>
      </c>
      <c r="H657" s="37" t="s">
        <v>487</v>
      </c>
      <c r="I657" s="14">
        <v>2024</v>
      </c>
      <c r="J657" t="s">
        <v>488</v>
      </c>
      <c r="K657" t="s">
        <v>202</v>
      </c>
      <c r="L657" t="s">
        <v>489</v>
      </c>
    </row>
    <row r="658" spans="1:12" x14ac:dyDescent="0.25">
      <c r="A658" t="s">
        <v>5</v>
      </c>
      <c r="B658" s="14" t="s">
        <v>16</v>
      </c>
      <c r="C658" t="s">
        <v>229</v>
      </c>
      <c r="D658" t="s">
        <v>5</v>
      </c>
      <c r="E658" t="s">
        <v>229</v>
      </c>
      <c r="F658" t="s">
        <v>229</v>
      </c>
      <c r="G658" t="s">
        <v>1</v>
      </c>
      <c r="H658" s="37" t="s">
        <v>487</v>
      </c>
      <c r="I658" s="14">
        <v>2024</v>
      </c>
      <c r="J658" t="s">
        <v>488</v>
      </c>
      <c r="K658" t="s">
        <v>202</v>
      </c>
      <c r="L658" t="s">
        <v>489</v>
      </c>
    </row>
    <row r="659" spans="1:12" x14ac:dyDescent="0.25">
      <c r="A659" t="s">
        <v>5</v>
      </c>
      <c r="B659" s="14" t="s">
        <v>16</v>
      </c>
      <c r="C659" t="s">
        <v>230</v>
      </c>
      <c r="D659" t="s">
        <v>5</v>
      </c>
      <c r="E659" t="s">
        <v>230</v>
      </c>
      <c r="F659" t="s">
        <v>230</v>
      </c>
      <c r="G659" t="s">
        <v>1</v>
      </c>
      <c r="H659" s="37" t="s">
        <v>487</v>
      </c>
      <c r="I659" s="14">
        <v>2024</v>
      </c>
      <c r="J659" t="s">
        <v>488</v>
      </c>
      <c r="K659" t="s">
        <v>202</v>
      </c>
      <c r="L659" t="s">
        <v>489</v>
      </c>
    </row>
    <row r="660" spans="1:12" x14ac:dyDescent="0.25">
      <c r="A660" t="s">
        <v>5</v>
      </c>
      <c r="B660" s="14" t="s">
        <v>11</v>
      </c>
      <c r="C660" t="s">
        <v>222</v>
      </c>
      <c r="D660" t="s">
        <v>5</v>
      </c>
      <c r="E660" t="s">
        <v>222</v>
      </c>
      <c r="F660" t="s">
        <v>222</v>
      </c>
      <c r="G660" t="s">
        <v>1</v>
      </c>
      <c r="H660" s="37" t="s">
        <v>487</v>
      </c>
      <c r="I660" s="14">
        <v>2024</v>
      </c>
      <c r="J660" t="s">
        <v>488</v>
      </c>
      <c r="K660" t="s">
        <v>202</v>
      </c>
      <c r="L660" t="s">
        <v>489</v>
      </c>
    </row>
    <row r="661" spans="1:12" x14ac:dyDescent="0.25">
      <c r="A661" t="s">
        <v>5</v>
      </c>
      <c r="B661" s="14" t="s">
        <v>7</v>
      </c>
      <c r="C661" t="s">
        <v>224</v>
      </c>
      <c r="D661" t="s">
        <v>5</v>
      </c>
      <c r="E661" t="s">
        <v>224</v>
      </c>
      <c r="F661" t="s">
        <v>224</v>
      </c>
      <c r="G661" t="s">
        <v>1</v>
      </c>
      <c r="H661" s="37" t="s">
        <v>487</v>
      </c>
      <c r="I661" s="14">
        <v>2024</v>
      </c>
      <c r="J661" t="s">
        <v>488</v>
      </c>
      <c r="K661" t="s">
        <v>202</v>
      </c>
      <c r="L661" t="s">
        <v>489</v>
      </c>
    </row>
    <row r="662" spans="1:12" x14ac:dyDescent="0.25">
      <c r="A662" t="s">
        <v>5</v>
      </c>
      <c r="B662" s="14" t="s">
        <v>7</v>
      </c>
      <c r="C662" t="s">
        <v>212</v>
      </c>
      <c r="D662" t="s">
        <v>5</v>
      </c>
      <c r="E662" t="s">
        <v>212</v>
      </c>
      <c r="F662" t="s">
        <v>212</v>
      </c>
      <c r="G662" t="s">
        <v>1</v>
      </c>
      <c r="H662" s="37" t="s">
        <v>487</v>
      </c>
      <c r="I662" s="14">
        <v>2024</v>
      </c>
      <c r="J662" t="s">
        <v>488</v>
      </c>
      <c r="K662" t="s">
        <v>202</v>
      </c>
      <c r="L662" t="s">
        <v>489</v>
      </c>
    </row>
    <row r="663" spans="1:12" x14ac:dyDescent="0.25">
      <c r="A663" t="s">
        <v>5</v>
      </c>
      <c r="B663" s="14" t="s">
        <v>13</v>
      </c>
      <c r="C663" t="s">
        <v>228</v>
      </c>
      <c r="D663" t="s">
        <v>5</v>
      </c>
      <c r="E663" t="s">
        <v>228</v>
      </c>
      <c r="F663" t="s">
        <v>228</v>
      </c>
      <c r="G663" t="s">
        <v>1</v>
      </c>
      <c r="H663" s="37" t="s">
        <v>487</v>
      </c>
      <c r="I663" s="14">
        <v>2024</v>
      </c>
      <c r="J663" t="s">
        <v>488</v>
      </c>
      <c r="K663" t="s">
        <v>202</v>
      </c>
      <c r="L663" t="s">
        <v>489</v>
      </c>
    </row>
    <row r="664" spans="1:12" x14ac:dyDescent="0.25">
      <c r="A664" t="s">
        <v>5</v>
      </c>
      <c r="B664" s="14" t="s">
        <v>21</v>
      </c>
      <c r="C664" t="s">
        <v>211</v>
      </c>
      <c r="D664" t="s">
        <v>5</v>
      </c>
      <c r="E664" t="s">
        <v>211</v>
      </c>
      <c r="F664" t="s">
        <v>211</v>
      </c>
      <c r="G664" t="s">
        <v>1</v>
      </c>
      <c r="H664" s="37" t="s">
        <v>487</v>
      </c>
      <c r="I664" s="14">
        <v>2024</v>
      </c>
      <c r="J664" t="s">
        <v>488</v>
      </c>
      <c r="K664" t="s">
        <v>202</v>
      </c>
      <c r="L664" t="s">
        <v>489</v>
      </c>
    </row>
    <row r="665" spans="1:12" x14ac:dyDescent="0.25">
      <c r="A665" t="s">
        <v>5</v>
      </c>
      <c r="B665" s="14" t="s">
        <v>50</v>
      </c>
      <c r="C665" t="s">
        <v>238</v>
      </c>
      <c r="D665" t="s">
        <v>5</v>
      </c>
      <c r="E665" t="s">
        <v>238</v>
      </c>
      <c r="F665" t="s">
        <v>238</v>
      </c>
      <c r="G665" t="s">
        <v>1</v>
      </c>
      <c r="H665" s="37" t="s">
        <v>487</v>
      </c>
      <c r="I665" s="14">
        <v>2024</v>
      </c>
      <c r="J665" t="s">
        <v>488</v>
      </c>
      <c r="K665" t="s">
        <v>202</v>
      </c>
      <c r="L665" t="s">
        <v>489</v>
      </c>
    </row>
    <row r="666" spans="1:12" x14ac:dyDescent="0.25">
      <c r="A666" t="s">
        <v>5</v>
      </c>
      <c r="B666" s="14" t="s">
        <v>50</v>
      </c>
      <c r="C666" t="s">
        <v>234</v>
      </c>
      <c r="D666" t="s">
        <v>5</v>
      </c>
      <c r="E666" t="s">
        <v>234</v>
      </c>
      <c r="F666" t="s">
        <v>234</v>
      </c>
      <c r="G666" t="s">
        <v>1</v>
      </c>
      <c r="H666" s="37" t="s">
        <v>487</v>
      </c>
      <c r="I666" s="14">
        <v>2024</v>
      </c>
      <c r="J666" t="s">
        <v>488</v>
      </c>
      <c r="K666" t="s">
        <v>202</v>
      </c>
      <c r="L666" t="s">
        <v>489</v>
      </c>
    </row>
    <row r="667" spans="1:12" x14ac:dyDescent="0.25">
      <c r="A667" t="s">
        <v>5</v>
      </c>
      <c r="B667" s="14" t="s">
        <v>50</v>
      </c>
      <c r="C667" t="s">
        <v>172</v>
      </c>
      <c r="D667" t="s">
        <v>5</v>
      </c>
      <c r="E667" t="s">
        <v>172</v>
      </c>
      <c r="F667" t="s">
        <v>172</v>
      </c>
      <c r="G667" t="s">
        <v>1</v>
      </c>
      <c r="H667" s="37" t="s">
        <v>487</v>
      </c>
      <c r="I667" s="14">
        <v>2024</v>
      </c>
      <c r="J667" t="s">
        <v>488</v>
      </c>
      <c r="K667" t="s">
        <v>202</v>
      </c>
      <c r="L667" t="s">
        <v>489</v>
      </c>
    </row>
    <row r="668" spans="1:12" x14ac:dyDescent="0.25">
      <c r="A668" t="s">
        <v>5</v>
      </c>
      <c r="B668" s="14" t="s">
        <v>50</v>
      </c>
      <c r="C668" t="s">
        <v>174</v>
      </c>
      <c r="D668" t="s">
        <v>5</v>
      </c>
      <c r="E668" t="s">
        <v>174</v>
      </c>
      <c r="F668" t="s">
        <v>174</v>
      </c>
      <c r="G668" t="s">
        <v>1</v>
      </c>
      <c r="H668" s="37" t="s">
        <v>487</v>
      </c>
      <c r="I668" s="14">
        <v>2024</v>
      </c>
      <c r="J668" t="s">
        <v>488</v>
      </c>
      <c r="K668" t="s">
        <v>202</v>
      </c>
      <c r="L668" t="s">
        <v>489</v>
      </c>
    </row>
    <row r="669" spans="1:12" x14ac:dyDescent="0.25">
      <c r="A669" t="s">
        <v>98</v>
      </c>
      <c r="B669" s="14" t="s">
        <v>111</v>
      </c>
      <c r="C669" t="s">
        <v>166</v>
      </c>
      <c r="D669" t="s">
        <v>98</v>
      </c>
      <c r="E669" t="s">
        <v>166</v>
      </c>
      <c r="F669" t="s">
        <v>166</v>
      </c>
      <c r="G669" t="s">
        <v>98</v>
      </c>
      <c r="H669" s="37" t="s">
        <v>487</v>
      </c>
      <c r="I669" s="14">
        <v>2024</v>
      </c>
      <c r="J669" t="s">
        <v>488</v>
      </c>
      <c r="K669" t="s">
        <v>202</v>
      </c>
      <c r="L669" t="s">
        <v>489</v>
      </c>
    </row>
    <row r="670" spans="1:12" x14ac:dyDescent="0.25">
      <c r="A670" t="s">
        <v>98</v>
      </c>
      <c r="B670" s="14" t="s">
        <v>111</v>
      </c>
      <c r="C670" t="s">
        <v>314</v>
      </c>
      <c r="D670" t="s">
        <v>98</v>
      </c>
      <c r="E670" t="s">
        <v>314</v>
      </c>
      <c r="F670" t="s">
        <v>314</v>
      </c>
      <c r="G670" t="s">
        <v>98</v>
      </c>
      <c r="H670" s="37" t="s">
        <v>487</v>
      </c>
      <c r="I670" s="14">
        <v>2024</v>
      </c>
      <c r="J670" t="s">
        <v>488</v>
      </c>
      <c r="K670" t="s">
        <v>202</v>
      </c>
      <c r="L670" t="s">
        <v>489</v>
      </c>
    </row>
  </sheetData>
  <autoFilter ref="A1:N1" xr:uid="{BD4B8BE8-0D28-431D-9149-24A9A99779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3B4-1CD0-4533-ADEC-6A301D996716}">
  <sheetPr>
    <tabColor theme="3" tint="0.89999084444715716"/>
  </sheetPr>
  <dimension ref="A1:K21"/>
  <sheetViews>
    <sheetView workbookViewId="0">
      <selection activeCell="A6" sqref="A6:A7"/>
    </sheetView>
  </sheetViews>
  <sheetFormatPr defaultRowHeight="15.75" x14ac:dyDescent="0.25"/>
  <cols>
    <col min="1" max="1" width="36" style="33" bestFit="1" customWidth="1"/>
    <col min="2" max="2" width="19.25" customWidth="1"/>
    <col min="3" max="3" width="14.375" customWidth="1"/>
    <col min="4" max="4" width="14.625" customWidth="1"/>
    <col min="5" max="5" width="16" customWidth="1"/>
    <col min="6" max="6" width="21.5" customWidth="1"/>
    <col min="7" max="7" width="16" customWidth="1"/>
    <col min="8" max="8" width="18.875" customWidth="1"/>
    <col min="9" max="9" width="20.25" customWidth="1"/>
    <col min="10" max="10" width="36" bestFit="1" customWidth="1"/>
    <col min="11" max="11" width="11.375" style="21" bestFit="1" customWidth="1"/>
  </cols>
  <sheetData>
    <row r="1" spans="1:11" ht="30" x14ac:dyDescent="0.25">
      <c r="A1" s="30" t="s">
        <v>159</v>
      </c>
      <c r="B1" s="25" t="s">
        <v>164</v>
      </c>
      <c r="C1" s="24" t="s">
        <v>491</v>
      </c>
      <c r="D1" s="20" t="s">
        <v>492</v>
      </c>
      <c r="E1" s="20" t="s">
        <v>493</v>
      </c>
      <c r="F1" s="24" t="s">
        <v>494</v>
      </c>
      <c r="G1" s="24" t="s">
        <v>495</v>
      </c>
      <c r="H1" s="24" t="s">
        <v>496</v>
      </c>
      <c r="I1" s="24" t="s">
        <v>497</v>
      </c>
      <c r="J1" s="20" t="s">
        <v>498</v>
      </c>
      <c r="K1" s="20"/>
    </row>
    <row r="2" spans="1:11" ht="56.25" x14ac:dyDescent="0.25">
      <c r="A2" s="35" t="s">
        <v>499</v>
      </c>
      <c r="B2" t="s">
        <v>484</v>
      </c>
      <c r="C2" s="19" t="s">
        <v>500</v>
      </c>
      <c r="D2" s="21" t="s">
        <v>501</v>
      </c>
      <c r="E2" s="21" t="s">
        <v>501</v>
      </c>
      <c r="F2" s="19" t="s">
        <v>502</v>
      </c>
      <c r="G2" s="19" t="s">
        <v>503</v>
      </c>
      <c r="H2" s="19" t="s">
        <v>503</v>
      </c>
      <c r="I2" s="19" t="s">
        <v>485</v>
      </c>
      <c r="J2" s="19" t="s">
        <v>504</v>
      </c>
    </row>
    <row r="3" spans="1:11" ht="45" x14ac:dyDescent="0.25">
      <c r="A3" s="35" t="s">
        <v>505</v>
      </c>
      <c r="B3" s="19" t="s">
        <v>488</v>
      </c>
      <c r="C3" t="s">
        <v>506</v>
      </c>
      <c r="D3" s="21" t="s">
        <v>501</v>
      </c>
      <c r="E3" s="21" t="s">
        <v>501</v>
      </c>
      <c r="F3" s="19" t="s">
        <v>507</v>
      </c>
      <c r="G3" s="26" t="s">
        <v>508</v>
      </c>
      <c r="H3" s="19" t="s">
        <v>509</v>
      </c>
      <c r="I3" t="s">
        <v>202</v>
      </c>
    </row>
    <row r="4" spans="1:11" ht="67.5" x14ac:dyDescent="0.25">
      <c r="A4" s="31" t="s">
        <v>160</v>
      </c>
      <c r="B4" s="26" t="s">
        <v>113</v>
      </c>
      <c r="C4" s="21" t="s">
        <v>510</v>
      </c>
      <c r="D4" s="26" t="s">
        <v>511</v>
      </c>
      <c r="E4" s="26" t="s">
        <v>501</v>
      </c>
      <c r="F4" s="26" t="s">
        <v>512</v>
      </c>
      <c r="G4" s="26" t="s">
        <v>508</v>
      </c>
      <c r="H4" s="26" t="s">
        <v>513</v>
      </c>
      <c r="I4" s="26" t="s">
        <v>168</v>
      </c>
      <c r="J4" s="21" t="s">
        <v>514</v>
      </c>
    </row>
    <row r="5" spans="1:11" ht="78.75" x14ac:dyDescent="0.25">
      <c r="A5" s="32" t="s">
        <v>161</v>
      </c>
      <c r="B5" s="27" t="s">
        <v>515</v>
      </c>
      <c r="C5" s="21" t="s">
        <v>516</v>
      </c>
      <c r="D5" s="26" t="s">
        <v>501</v>
      </c>
      <c r="E5" s="26" t="s">
        <v>501</v>
      </c>
      <c r="F5" s="26" t="s">
        <v>513</v>
      </c>
      <c r="G5" s="21" t="s">
        <v>503</v>
      </c>
      <c r="H5" s="21" t="s">
        <v>503</v>
      </c>
      <c r="I5" s="26" t="s">
        <v>517</v>
      </c>
      <c r="J5" s="26" t="s">
        <v>518</v>
      </c>
    </row>
    <row r="6" spans="1:11" ht="65.25" customHeight="1" x14ac:dyDescent="0.25">
      <c r="A6" s="44" t="s">
        <v>519</v>
      </c>
      <c r="B6" s="23" t="s">
        <v>110</v>
      </c>
      <c r="C6" s="26" t="s">
        <v>520</v>
      </c>
      <c r="D6" s="26" t="s">
        <v>521</v>
      </c>
      <c r="E6" s="26" t="s">
        <v>521</v>
      </c>
      <c r="F6" s="26" t="s">
        <v>522</v>
      </c>
      <c r="G6" s="21" t="s">
        <v>503</v>
      </c>
      <c r="H6" s="21" t="s">
        <v>503</v>
      </c>
      <c r="I6" s="26" t="s">
        <v>202</v>
      </c>
      <c r="J6" s="26" t="s">
        <v>523</v>
      </c>
    </row>
    <row r="7" spans="1:11" ht="60" customHeight="1" x14ac:dyDescent="0.25">
      <c r="A7" s="44"/>
      <c r="B7" s="23" t="s">
        <v>524</v>
      </c>
      <c r="C7" s="26" t="s">
        <v>525</v>
      </c>
      <c r="D7" s="26" t="s">
        <v>526</v>
      </c>
      <c r="E7" s="26" t="s">
        <v>501</v>
      </c>
      <c r="F7" s="26" t="s">
        <v>522</v>
      </c>
      <c r="G7" s="21" t="s">
        <v>503</v>
      </c>
      <c r="H7" s="21" t="s">
        <v>503</v>
      </c>
      <c r="I7" s="21" t="s">
        <v>202</v>
      </c>
      <c r="J7" s="21"/>
    </row>
    <row r="8" spans="1:11" ht="67.5" x14ac:dyDescent="0.25">
      <c r="A8" s="32" t="s">
        <v>527</v>
      </c>
      <c r="B8" s="19" t="s">
        <v>528</v>
      </c>
      <c r="C8" s="21" t="s">
        <v>529</v>
      </c>
      <c r="D8" s="23" t="s">
        <v>530</v>
      </c>
      <c r="E8" s="26" t="s">
        <v>501</v>
      </c>
      <c r="F8" s="26" t="s">
        <v>513</v>
      </c>
      <c r="G8" s="26" t="s">
        <v>508</v>
      </c>
      <c r="H8" s="26" t="s">
        <v>513</v>
      </c>
      <c r="I8" s="26" t="s">
        <v>531</v>
      </c>
      <c r="J8" s="26" t="s">
        <v>532</v>
      </c>
    </row>
    <row r="9" spans="1:11" ht="78.75" x14ac:dyDescent="0.25">
      <c r="A9" s="32" t="s">
        <v>533</v>
      </c>
      <c r="B9" s="19" t="s">
        <v>113</v>
      </c>
      <c r="C9" s="21" t="s">
        <v>534</v>
      </c>
      <c r="D9" s="26" t="s">
        <v>501</v>
      </c>
      <c r="E9" s="26" t="s">
        <v>501</v>
      </c>
      <c r="F9" s="26" t="s">
        <v>507</v>
      </c>
      <c r="G9" s="26" t="s">
        <v>508</v>
      </c>
      <c r="H9" s="26" t="s">
        <v>507</v>
      </c>
      <c r="I9" s="21" t="s">
        <v>202</v>
      </c>
      <c r="J9" s="21"/>
    </row>
    <row r="10" spans="1:11" ht="56.25" x14ac:dyDescent="0.25">
      <c r="A10" s="32" t="s">
        <v>535</v>
      </c>
      <c r="B10" s="19" t="s">
        <v>113</v>
      </c>
      <c r="C10" s="21" t="s">
        <v>536</v>
      </c>
      <c r="D10" s="27" t="s">
        <v>501</v>
      </c>
      <c r="E10" s="26" t="s">
        <v>501</v>
      </c>
      <c r="F10" s="26" t="s">
        <v>513</v>
      </c>
      <c r="G10" s="26" t="s">
        <v>508</v>
      </c>
      <c r="H10" s="26" t="s">
        <v>513</v>
      </c>
      <c r="I10" s="26" t="s">
        <v>531</v>
      </c>
      <c r="J10" s="21" t="s">
        <v>537</v>
      </c>
    </row>
    <row r="11" spans="1:11" ht="75.75" customHeight="1" x14ac:dyDescent="0.25">
      <c r="A11" s="45" t="s">
        <v>162</v>
      </c>
      <c r="B11" s="28" t="s">
        <v>201</v>
      </c>
      <c r="C11" s="21" t="s">
        <v>506</v>
      </c>
      <c r="D11" s="21" t="s">
        <v>501</v>
      </c>
      <c r="E11" s="21" t="s">
        <v>501</v>
      </c>
      <c r="F11" s="21" t="s">
        <v>538</v>
      </c>
      <c r="G11" s="26" t="s">
        <v>539</v>
      </c>
      <c r="H11" s="26" t="s">
        <v>540</v>
      </c>
      <c r="I11" s="26" t="s">
        <v>202</v>
      </c>
      <c r="J11" s="21"/>
    </row>
    <row r="12" spans="1:11" ht="30" x14ac:dyDescent="0.25">
      <c r="A12" s="45"/>
      <c r="B12" s="28" t="s">
        <v>541</v>
      </c>
      <c r="C12" s="21" t="s">
        <v>542</v>
      </c>
      <c r="D12" s="21" t="s">
        <v>501</v>
      </c>
      <c r="E12" s="21" t="s">
        <v>501</v>
      </c>
      <c r="F12" s="21" t="s">
        <v>543</v>
      </c>
      <c r="G12" s="26" t="s">
        <v>508</v>
      </c>
      <c r="H12" s="21" t="s">
        <v>544</v>
      </c>
      <c r="I12" s="26" t="s">
        <v>202</v>
      </c>
      <c r="J12" s="21"/>
    </row>
    <row r="13" spans="1:11" ht="56.25" x14ac:dyDescent="0.25">
      <c r="A13" s="35" t="s">
        <v>545</v>
      </c>
      <c r="B13" t="s">
        <v>546</v>
      </c>
      <c r="C13" s="19" t="s">
        <v>547</v>
      </c>
      <c r="D13" s="21" t="s">
        <v>501</v>
      </c>
      <c r="E13" s="21" t="s">
        <v>501</v>
      </c>
      <c r="F13" s="19" t="s">
        <v>548</v>
      </c>
      <c r="G13" s="26" t="s">
        <v>508</v>
      </c>
      <c r="H13" s="26" t="s">
        <v>549</v>
      </c>
      <c r="I13" s="26" t="s">
        <v>550</v>
      </c>
      <c r="J13" s="21" t="s">
        <v>537</v>
      </c>
    </row>
    <row r="14" spans="1:11" ht="105" x14ac:dyDescent="0.25">
      <c r="A14" s="31" t="s">
        <v>163</v>
      </c>
      <c r="B14" s="19" t="s">
        <v>551</v>
      </c>
      <c r="C14" s="21" t="s">
        <v>552</v>
      </c>
      <c r="D14" s="21" t="s">
        <v>501</v>
      </c>
      <c r="E14" s="21" t="s">
        <v>501</v>
      </c>
      <c r="F14" s="26" t="s">
        <v>513</v>
      </c>
      <c r="G14" s="26" t="s">
        <v>508</v>
      </c>
      <c r="H14" s="26" t="s">
        <v>513</v>
      </c>
      <c r="I14" s="26" t="s">
        <v>553</v>
      </c>
      <c r="J14" s="26" t="s">
        <v>554</v>
      </c>
    </row>
    <row r="15" spans="1:11" ht="75" x14ac:dyDescent="0.25">
      <c r="A15" s="32" t="s">
        <v>555</v>
      </c>
      <c r="B15" s="22" t="s">
        <v>484</v>
      </c>
      <c r="C15" s="21" t="s">
        <v>556</v>
      </c>
      <c r="D15" s="21" t="s">
        <v>501</v>
      </c>
      <c r="E15" s="21" t="s">
        <v>501</v>
      </c>
      <c r="F15" s="21" t="s">
        <v>543</v>
      </c>
      <c r="G15" s="26" t="s">
        <v>557</v>
      </c>
      <c r="H15" t="s">
        <v>507</v>
      </c>
      <c r="I15" s="26" t="s">
        <v>558</v>
      </c>
      <c r="J15" s="26" t="s">
        <v>559</v>
      </c>
    </row>
    <row r="16" spans="1:11" ht="63.75" customHeight="1" x14ac:dyDescent="0.25">
      <c r="A16" s="32" t="s">
        <v>560</v>
      </c>
      <c r="B16" s="29" t="s">
        <v>135</v>
      </c>
      <c r="C16" s="21" t="s">
        <v>561</v>
      </c>
      <c r="D16" s="21" t="s">
        <v>501</v>
      </c>
      <c r="E16" s="21" t="s">
        <v>501</v>
      </c>
      <c r="F16" s="21" t="s">
        <v>562</v>
      </c>
      <c r="G16" s="26" t="s">
        <v>563</v>
      </c>
      <c r="H16" t="s">
        <v>507</v>
      </c>
      <c r="I16" s="21" t="s">
        <v>202</v>
      </c>
      <c r="J16" s="21"/>
    </row>
    <row r="17" spans="1:10" ht="90" x14ac:dyDescent="0.25">
      <c r="A17" s="32" t="s">
        <v>564</v>
      </c>
      <c r="B17" s="29" t="s">
        <v>565</v>
      </c>
      <c r="C17" s="21" t="s">
        <v>561</v>
      </c>
      <c r="D17" s="21" t="s">
        <v>501</v>
      </c>
      <c r="E17" s="21" t="s">
        <v>501</v>
      </c>
      <c r="F17" s="26" t="s">
        <v>566</v>
      </c>
      <c r="G17" s="26" t="s">
        <v>508</v>
      </c>
      <c r="H17" s="26" t="s">
        <v>567</v>
      </c>
      <c r="I17" s="21" t="s">
        <v>202</v>
      </c>
      <c r="J17" s="21"/>
    </row>
    <row r="18" spans="1:10" ht="90" x14ac:dyDescent="0.25">
      <c r="A18" s="32" t="s">
        <v>568</v>
      </c>
      <c r="B18" s="22" t="s">
        <v>147</v>
      </c>
      <c r="C18" s="21" t="s">
        <v>569</v>
      </c>
      <c r="D18" s="21" t="s">
        <v>501</v>
      </c>
      <c r="E18" s="21" t="s">
        <v>501</v>
      </c>
      <c r="F18" s="26" t="s">
        <v>570</v>
      </c>
      <c r="G18" s="21" t="s">
        <v>503</v>
      </c>
      <c r="H18" s="21" t="s">
        <v>503</v>
      </c>
      <c r="I18" s="26" t="s">
        <v>553</v>
      </c>
      <c r="J18" s="21" t="s">
        <v>537</v>
      </c>
    </row>
    <row r="19" spans="1:10" ht="45" x14ac:dyDescent="0.25">
      <c r="A19" s="32" t="s">
        <v>571</v>
      </c>
      <c r="B19" s="23" t="s">
        <v>572</v>
      </c>
      <c r="C19" s="21" t="s">
        <v>573</v>
      </c>
      <c r="D19" s="21" t="s">
        <v>501</v>
      </c>
      <c r="E19" s="21" t="s">
        <v>501</v>
      </c>
      <c r="F19" s="26" t="s">
        <v>513</v>
      </c>
      <c r="G19" s="26" t="s">
        <v>508</v>
      </c>
      <c r="H19" s="26" t="s">
        <v>513</v>
      </c>
      <c r="I19" s="26" t="s">
        <v>550</v>
      </c>
      <c r="J19" s="26" t="s">
        <v>574</v>
      </c>
    </row>
    <row r="20" spans="1:10" ht="65.25" customHeight="1" x14ac:dyDescent="0.25">
      <c r="A20" s="44" t="s">
        <v>575</v>
      </c>
      <c r="B20" s="19" t="s">
        <v>480</v>
      </c>
      <c r="C20" t="s">
        <v>576</v>
      </c>
      <c r="D20" s="21" t="s">
        <v>501</v>
      </c>
      <c r="E20" s="21" t="s">
        <v>501</v>
      </c>
      <c r="F20" s="26" t="s">
        <v>513</v>
      </c>
      <c r="G20" s="26" t="s">
        <v>508</v>
      </c>
      <c r="H20" s="26" t="s">
        <v>513</v>
      </c>
      <c r="I20" s="21"/>
    </row>
    <row r="21" spans="1:10" ht="48.75" customHeight="1" x14ac:dyDescent="0.25">
      <c r="A21" s="44"/>
      <c r="B21" s="19" t="s">
        <v>577</v>
      </c>
      <c r="C21" s="21" t="s">
        <v>552</v>
      </c>
      <c r="D21" s="21" t="s">
        <v>501</v>
      </c>
      <c r="E21" s="21" t="s">
        <v>501</v>
      </c>
      <c r="F21" s="26" t="s">
        <v>513</v>
      </c>
      <c r="G21" s="26" t="s">
        <v>508</v>
      </c>
      <c r="H21" s="26" t="s">
        <v>513</v>
      </c>
    </row>
  </sheetData>
  <mergeCells count="3">
    <mergeCell ref="A20:A21"/>
    <mergeCell ref="A11:A12"/>
    <mergeCell ref="A6:A7"/>
  </mergeCells>
  <hyperlinks>
    <hyperlink ref="A4" r:id="rId1" display="https://onlinelibrary.wiley.com/doi/10.1111/1744-7917.13251" xr:uid="{2C6EFFBE-B892-4B44-833D-1A88C547FCCD}"/>
    <hyperlink ref="A11" r:id="rId2" display="https://doi.org/10.7554/eLife.82762" xr:uid="{0025203B-EBA6-4C7D-A2E6-BA6DBDED27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01F-1A4E-42CC-992F-A193E2FD6B9B}">
  <sheetPr>
    <tabColor theme="3" tint="0.89999084444715716"/>
  </sheetPr>
  <dimension ref="A1:F297"/>
  <sheetViews>
    <sheetView workbookViewId="0"/>
  </sheetViews>
  <sheetFormatPr defaultRowHeight="15.75" x14ac:dyDescent="0.25"/>
  <cols>
    <col min="1" max="1" width="14.75" customWidth="1"/>
    <col min="2" max="2" width="17" customWidth="1"/>
    <col min="3" max="3" width="18.125" bestFit="1" customWidth="1"/>
  </cols>
  <sheetData>
    <row r="1" spans="1:6" x14ac:dyDescent="0.25">
      <c r="A1" s="13" t="s">
        <v>99</v>
      </c>
      <c r="B1" s="13" t="s">
        <v>100</v>
      </c>
      <c r="C1" s="13" t="s">
        <v>101</v>
      </c>
      <c r="E1" t="s">
        <v>578</v>
      </c>
      <c r="F1">
        <f>COUNTA(A2:A295)</f>
        <v>10</v>
      </c>
    </row>
    <row r="2" spans="1:6" x14ac:dyDescent="0.25">
      <c r="A2" t="s">
        <v>5</v>
      </c>
      <c r="B2" t="s">
        <v>6</v>
      </c>
      <c r="C2" t="s">
        <v>379</v>
      </c>
      <c r="E2" t="s">
        <v>65</v>
      </c>
      <c r="F2">
        <f>COUNTA(B2:B295)</f>
        <v>66</v>
      </c>
    </row>
    <row r="3" spans="1:6" x14ac:dyDescent="0.25">
      <c r="C3" t="s">
        <v>378</v>
      </c>
      <c r="E3" t="s">
        <v>579</v>
      </c>
      <c r="F3">
        <f>COUNTA(C2:C295)</f>
        <v>294</v>
      </c>
    </row>
    <row r="4" spans="1:6" x14ac:dyDescent="0.25">
      <c r="C4" t="s">
        <v>377</v>
      </c>
    </row>
    <row r="5" spans="1:6" x14ac:dyDescent="0.25">
      <c r="B5" t="s">
        <v>5</v>
      </c>
      <c r="C5" t="s">
        <v>217</v>
      </c>
    </row>
    <row r="6" spans="1:6" x14ac:dyDescent="0.25">
      <c r="C6" t="s">
        <v>398</v>
      </c>
    </row>
    <row r="7" spans="1:6" x14ac:dyDescent="0.25">
      <c r="C7" t="s">
        <v>397</v>
      </c>
    </row>
    <row r="8" spans="1:6" x14ac:dyDescent="0.25">
      <c r="C8" t="s">
        <v>396</v>
      </c>
    </row>
    <row r="9" spans="1:6" x14ac:dyDescent="0.25">
      <c r="C9" t="s">
        <v>395</v>
      </c>
    </row>
    <row r="10" spans="1:6" x14ac:dyDescent="0.25">
      <c r="B10" t="s">
        <v>7</v>
      </c>
      <c r="C10" t="s">
        <v>221</v>
      </c>
    </row>
    <row r="11" spans="1:6" x14ac:dyDescent="0.25">
      <c r="C11" t="s">
        <v>224</v>
      </c>
    </row>
    <row r="12" spans="1:6" x14ac:dyDescent="0.25">
      <c r="C12" t="s">
        <v>223</v>
      </c>
    </row>
    <row r="13" spans="1:6" x14ac:dyDescent="0.25">
      <c r="C13" t="s">
        <v>412</v>
      </c>
    </row>
    <row r="14" spans="1:6" x14ac:dyDescent="0.25">
      <c r="C14" t="s">
        <v>226</v>
      </c>
    </row>
    <row r="15" spans="1:6" x14ac:dyDescent="0.25">
      <c r="C15" t="s">
        <v>225</v>
      </c>
    </row>
    <row r="16" spans="1:6" x14ac:dyDescent="0.25">
      <c r="C16" t="s">
        <v>422</v>
      </c>
    </row>
    <row r="17" spans="2:3" x14ac:dyDescent="0.25">
      <c r="C17" t="s">
        <v>419</v>
      </c>
    </row>
    <row r="18" spans="2:3" x14ac:dyDescent="0.25">
      <c r="C18" t="s">
        <v>421</v>
      </c>
    </row>
    <row r="19" spans="2:3" x14ac:dyDescent="0.25">
      <c r="C19" t="s">
        <v>212</v>
      </c>
    </row>
    <row r="20" spans="2:3" x14ac:dyDescent="0.25">
      <c r="B20" t="s">
        <v>8</v>
      </c>
      <c r="C20" t="s">
        <v>428</v>
      </c>
    </row>
    <row r="21" spans="2:3" x14ac:dyDescent="0.25">
      <c r="B21" t="s">
        <v>9</v>
      </c>
      <c r="C21" t="s">
        <v>425</v>
      </c>
    </row>
    <row r="22" spans="2:3" x14ac:dyDescent="0.25">
      <c r="C22" t="s">
        <v>426</v>
      </c>
    </row>
    <row r="23" spans="2:3" x14ac:dyDescent="0.25">
      <c r="C23" t="s">
        <v>424</v>
      </c>
    </row>
    <row r="24" spans="2:3" x14ac:dyDescent="0.25">
      <c r="B24" t="s">
        <v>10</v>
      </c>
      <c r="C24" t="s">
        <v>335</v>
      </c>
    </row>
    <row r="25" spans="2:3" x14ac:dyDescent="0.25">
      <c r="C25" t="s">
        <v>334</v>
      </c>
    </row>
    <row r="26" spans="2:3" x14ac:dyDescent="0.25">
      <c r="B26" t="s">
        <v>11</v>
      </c>
      <c r="C26" t="s">
        <v>222</v>
      </c>
    </row>
    <row r="27" spans="2:3" x14ac:dyDescent="0.25">
      <c r="C27" t="s">
        <v>423</v>
      </c>
    </row>
    <row r="28" spans="2:3" x14ac:dyDescent="0.25">
      <c r="B28" t="s">
        <v>12</v>
      </c>
      <c r="C28" t="s">
        <v>180</v>
      </c>
    </row>
    <row r="29" spans="2:3" x14ac:dyDescent="0.25">
      <c r="C29" t="s">
        <v>181</v>
      </c>
    </row>
    <row r="30" spans="2:3" x14ac:dyDescent="0.25">
      <c r="C30" t="s">
        <v>317</v>
      </c>
    </row>
    <row r="31" spans="2:3" x14ac:dyDescent="0.25">
      <c r="C31" t="s">
        <v>316</v>
      </c>
    </row>
    <row r="32" spans="2:3" x14ac:dyDescent="0.25">
      <c r="B32" t="s">
        <v>13</v>
      </c>
      <c r="C32" t="s">
        <v>228</v>
      </c>
    </row>
    <row r="33" spans="2:3" x14ac:dyDescent="0.25">
      <c r="B33" t="s">
        <v>14</v>
      </c>
      <c r="C33" t="s">
        <v>210</v>
      </c>
    </row>
    <row r="34" spans="2:3" x14ac:dyDescent="0.25">
      <c r="B34" t="s">
        <v>15</v>
      </c>
      <c r="C34" t="s">
        <v>388</v>
      </c>
    </row>
    <row r="35" spans="2:3" x14ac:dyDescent="0.25">
      <c r="B35" t="s">
        <v>16</v>
      </c>
      <c r="C35" t="s">
        <v>230</v>
      </c>
    </row>
    <row r="36" spans="2:3" x14ac:dyDescent="0.25">
      <c r="C36" t="s">
        <v>229</v>
      </c>
    </row>
    <row r="37" spans="2:3" x14ac:dyDescent="0.25">
      <c r="B37" t="s">
        <v>17</v>
      </c>
      <c r="C37" t="s">
        <v>187</v>
      </c>
    </row>
    <row r="38" spans="2:3" x14ac:dyDescent="0.25">
      <c r="C38" t="s">
        <v>274</v>
      </c>
    </row>
    <row r="39" spans="2:3" x14ac:dyDescent="0.25">
      <c r="C39" t="s">
        <v>186</v>
      </c>
    </row>
    <row r="40" spans="2:3" x14ac:dyDescent="0.25">
      <c r="C40" t="s">
        <v>272</v>
      </c>
    </row>
    <row r="41" spans="2:3" x14ac:dyDescent="0.25">
      <c r="C41" t="s">
        <v>273</v>
      </c>
    </row>
    <row r="42" spans="2:3" x14ac:dyDescent="0.25">
      <c r="B42" t="s">
        <v>18</v>
      </c>
      <c r="C42" t="s">
        <v>387</v>
      </c>
    </row>
    <row r="43" spans="2:3" x14ac:dyDescent="0.25">
      <c r="C43" t="s">
        <v>383</v>
      </c>
    </row>
    <row r="44" spans="2:3" x14ac:dyDescent="0.25">
      <c r="C44" t="s">
        <v>385</v>
      </c>
    </row>
    <row r="45" spans="2:3" x14ac:dyDescent="0.25">
      <c r="C45" t="s">
        <v>386</v>
      </c>
    </row>
    <row r="46" spans="2:3" x14ac:dyDescent="0.25">
      <c r="C46" t="s">
        <v>384</v>
      </c>
    </row>
    <row r="47" spans="2:3" x14ac:dyDescent="0.25">
      <c r="C47" t="s">
        <v>382</v>
      </c>
    </row>
    <row r="48" spans="2:3" x14ac:dyDescent="0.25">
      <c r="B48" t="s">
        <v>19</v>
      </c>
      <c r="C48" t="s">
        <v>406</v>
      </c>
    </row>
    <row r="49" spans="2:3" x14ac:dyDescent="0.25">
      <c r="B49" t="s">
        <v>20</v>
      </c>
      <c r="C49" t="s">
        <v>248</v>
      </c>
    </row>
    <row r="50" spans="2:3" x14ac:dyDescent="0.25">
      <c r="B50" t="s">
        <v>21</v>
      </c>
      <c r="C50" t="s">
        <v>211</v>
      </c>
    </row>
    <row r="51" spans="2:3" x14ac:dyDescent="0.25">
      <c r="B51" t="s">
        <v>22</v>
      </c>
      <c r="C51" t="s">
        <v>252</v>
      </c>
    </row>
    <row r="52" spans="2:3" x14ac:dyDescent="0.25">
      <c r="C52" t="s">
        <v>251</v>
      </c>
    </row>
    <row r="53" spans="2:3" x14ac:dyDescent="0.25">
      <c r="C53" t="s">
        <v>250</v>
      </c>
    </row>
    <row r="54" spans="2:3" x14ac:dyDescent="0.25">
      <c r="B54" t="s">
        <v>23</v>
      </c>
      <c r="C54" t="s">
        <v>325</v>
      </c>
    </row>
    <row r="55" spans="2:3" x14ac:dyDescent="0.25">
      <c r="B55" t="s">
        <v>24</v>
      </c>
      <c r="C55" t="s">
        <v>249</v>
      </c>
    </row>
    <row r="56" spans="2:3" x14ac:dyDescent="0.25">
      <c r="B56" t="s">
        <v>25</v>
      </c>
      <c r="C56" t="s">
        <v>332</v>
      </c>
    </row>
    <row r="57" spans="2:3" x14ac:dyDescent="0.25">
      <c r="C57" t="s">
        <v>243</v>
      </c>
    </row>
    <row r="58" spans="2:3" x14ac:dyDescent="0.25">
      <c r="C58" t="s">
        <v>244</v>
      </c>
    </row>
    <row r="59" spans="2:3" x14ac:dyDescent="0.25">
      <c r="B59" t="s">
        <v>26</v>
      </c>
      <c r="C59" t="s">
        <v>336</v>
      </c>
    </row>
    <row r="60" spans="2:3" x14ac:dyDescent="0.25">
      <c r="B60" t="s">
        <v>27</v>
      </c>
      <c r="C60" t="s">
        <v>351</v>
      </c>
    </row>
    <row r="61" spans="2:3" x14ac:dyDescent="0.25">
      <c r="C61" t="s">
        <v>184</v>
      </c>
    </row>
    <row r="62" spans="2:3" x14ac:dyDescent="0.25">
      <c r="C62" t="s">
        <v>350</v>
      </c>
    </row>
    <row r="63" spans="2:3" x14ac:dyDescent="0.25">
      <c r="B63" t="s">
        <v>28</v>
      </c>
      <c r="C63" t="s">
        <v>318</v>
      </c>
    </row>
    <row r="64" spans="2:3" x14ac:dyDescent="0.25">
      <c r="C64" t="s">
        <v>315</v>
      </c>
    </row>
    <row r="65" spans="2:3" x14ac:dyDescent="0.25">
      <c r="C65" t="s">
        <v>319</v>
      </c>
    </row>
    <row r="66" spans="2:3" x14ac:dyDescent="0.25">
      <c r="C66" t="s">
        <v>270</v>
      </c>
    </row>
    <row r="67" spans="2:3" x14ac:dyDescent="0.25">
      <c r="C67" t="s">
        <v>188</v>
      </c>
    </row>
    <row r="68" spans="2:3" x14ac:dyDescent="0.25">
      <c r="B68" t="s">
        <v>29</v>
      </c>
      <c r="C68" t="s">
        <v>390</v>
      </c>
    </row>
    <row r="69" spans="2:3" x14ac:dyDescent="0.25">
      <c r="C69" t="s">
        <v>284</v>
      </c>
    </row>
    <row r="70" spans="2:3" x14ac:dyDescent="0.25">
      <c r="C70" t="s">
        <v>283</v>
      </c>
    </row>
    <row r="71" spans="2:3" x14ac:dyDescent="0.25">
      <c r="C71" t="s">
        <v>285</v>
      </c>
    </row>
    <row r="72" spans="2:3" x14ac:dyDescent="0.25">
      <c r="B72" t="s">
        <v>30</v>
      </c>
      <c r="C72" t="s">
        <v>326</v>
      </c>
    </row>
    <row r="73" spans="2:3" x14ac:dyDescent="0.25">
      <c r="B73" t="s">
        <v>31</v>
      </c>
      <c r="C73" t="s">
        <v>281</v>
      </c>
    </row>
    <row r="74" spans="2:3" x14ac:dyDescent="0.25">
      <c r="B74" t="s">
        <v>32</v>
      </c>
      <c r="C74" t="s">
        <v>282</v>
      </c>
    </row>
    <row r="75" spans="2:3" x14ac:dyDescent="0.25">
      <c r="B75" t="s">
        <v>33</v>
      </c>
      <c r="C75" t="s">
        <v>430</v>
      </c>
    </row>
    <row r="76" spans="2:3" x14ac:dyDescent="0.25">
      <c r="C76" t="s">
        <v>431</v>
      </c>
    </row>
    <row r="77" spans="2:3" x14ac:dyDescent="0.25">
      <c r="B77" t="s">
        <v>34</v>
      </c>
      <c r="C77" t="s">
        <v>389</v>
      </c>
    </row>
    <row r="78" spans="2:3" x14ac:dyDescent="0.25">
      <c r="B78" t="s">
        <v>90</v>
      </c>
      <c r="C78" t="s">
        <v>278</v>
      </c>
    </row>
    <row r="79" spans="2:3" x14ac:dyDescent="0.25">
      <c r="C79" t="s">
        <v>279</v>
      </c>
    </row>
    <row r="80" spans="2:3" x14ac:dyDescent="0.25">
      <c r="C80" t="s">
        <v>347</v>
      </c>
    </row>
    <row r="81" spans="2:3" x14ac:dyDescent="0.25">
      <c r="C81" t="s">
        <v>348</v>
      </c>
    </row>
    <row r="82" spans="2:3" x14ac:dyDescent="0.25">
      <c r="B82" t="s">
        <v>35</v>
      </c>
      <c r="C82" t="s">
        <v>185</v>
      </c>
    </row>
    <row r="83" spans="2:3" x14ac:dyDescent="0.25">
      <c r="C83" t="s">
        <v>490</v>
      </c>
    </row>
    <row r="84" spans="2:3" x14ac:dyDescent="0.25">
      <c r="C84" t="s">
        <v>352</v>
      </c>
    </row>
    <row r="85" spans="2:3" x14ac:dyDescent="0.25">
      <c r="B85" t="s">
        <v>36</v>
      </c>
      <c r="C85" t="s">
        <v>418</v>
      </c>
    </row>
    <row r="86" spans="2:3" x14ac:dyDescent="0.25">
      <c r="C86" t="s">
        <v>409</v>
      </c>
    </row>
    <row r="87" spans="2:3" x14ac:dyDescent="0.25">
      <c r="C87" t="s">
        <v>413</v>
      </c>
    </row>
    <row r="88" spans="2:3" x14ac:dyDescent="0.25">
      <c r="C88" t="s">
        <v>415</v>
      </c>
    </row>
    <row r="89" spans="2:3" x14ac:dyDescent="0.25">
      <c r="C89" t="s">
        <v>189</v>
      </c>
    </row>
    <row r="90" spans="2:3" x14ac:dyDescent="0.25">
      <c r="C90" t="s">
        <v>414</v>
      </c>
    </row>
    <row r="91" spans="2:3" x14ac:dyDescent="0.25">
      <c r="C91" t="s">
        <v>410</v>
      </c>
    </row>
    <row r="92" spans="2:3" x14ac:dyDescent="0.25">
      <c r="C92" t="s">
        <v>407</v>
      </c>
    </row>
    <row r="93" spans="2:3" x14ac:dyDescent="0.25">
      <c r="C93" t="s">
        <v>416</v>
      </c>
    </row>
    <row r="94" spans="2:3" x14ac:dyDescent="0.25">
      <c r="B94" t="s">
        <v>37</v>
      </c>
      <c r="C94" t="s">
        <v>427</v>
      </c>
    </row>
    <row r="95" spans="2:3" x14ac:dyDescent="0.25">
      <c r="B95" t="s">
        <v>38</v>
      </c>
      <c r="C95" t="s">
        <v>367</v>
      </c>
    </row>
    <row r="96" spans="2:3" x14ac:dyDescent="0.25">
      <c r="C96" t="s">
        <v>247</v>
      </c>
    </row>
    <row r="97" spans="3:3" x14ac:dyDescent="0.25">
      <c r="C97" t="s">
        <v>357</v>
      </c>
    </row>
    <row r="98" spans="3:3" x14ac:dyDescent="0.25">
      <c r="C98" t="s">
        <v>341</v>
      </c>
    </row>
    <row r="99" spans="3:3" x14ac:dyDescent="0.25">
      <c r="C99" t="s">
        <v>353</v>
      </c>
    </row>
    <row r="100" spans="3:3" x14ac:dyDescent="0.25">
      <c r="C100" t="s">
        <v>260</v>
      </c>
    </row>
    <row r="101" spans="3:3" x14ac:dyDescent="0.25">
      <c r="C101" t="s">
        <v>376</v>
      </c>
    </row>
    <row r="102" spans="3:3" x14ac:dyDescent="0.25">
      <c r="C102" t="s">
        <v>358</v>
      </c>
    </row>
    <row r="103" spans="3:3" x14ac:dyDescent="0.25">
      <c r="C103" t="s">
        <v>345</v>
      </c>
    </row>
    <row r="104" spans="3:3" x14ac:dyDescent="0.25">
      <c r="C104" t="s">
        <v>380</v>
      </c>
    </row>
    <row r="105" spans="3:3" x14ac:dyDescent="0.25">
      <c r="C105" t="s">
        <v>286</v>
      </c>
    </row>
    <row r="106" spans="3:3" x14ac:dyDescent="0.25">
      <c r="C106" t="s">
        <v>289</v>
      </c>
    </row>
    <row r="107" spans="3:3" x14ac:dyDescent="0.25">
      <c r="C107" t="s">
        <v>354</v>
      </c>
    </row>
    <row r="108" spans="3:3" x14ac:dyDescent="0.25">
      <c r="C108" t="s">
        <v>374</v>
      </c>
    </row>
    <row r="109" spans="3:3" x14ac:dyDescent="0.25">
      <c r="C109" t="s">
        <v>204</v>
      </c>
    </row>
    <row r="110" spans="3:3" x14ac:dyDescent="0.25">
      <c r="C110" t="s">
        <v>364</v>
      </c>
    </row>
    <row r="111" spans="3:3" x14ac:dyDescent="0.25">
      <c r="C111" t="s">
        <v>370</v>
      </c>
    </row>
    <row r="112" spans="3:3" x14ac:dyDescent="0.25">
      <c r="C112" t="s">
        <v>373</v>
      </c>
    </row>
    <row r="113" spans="3:3" x14ac:dyDescent="0.25">
      <c r="C113" t="s">
        <v>369</v>
      </c>
    </row>
    <row r="114" spans="3:3" x14ac:dyDescent="0.25">
      <c r="C114" t="s">
        <v>340</v>
      </c>
    </row>
    <row r="115" spans="3:3" x14ac:dyDescent="0.25">
      <c r="C115" t="s">
        <v>361</v>
      </c>
    </row>
    <row r="116" spans="3:3" x14ac:dyDescent="0.25">
      <c r="C116" t="s">
        <v>205</v>
      </c>
    </row>
    <row r="117" spans="3:3" x14ac:dyDescent="0.25">
      <c r="C117" t="s">
        <v>293</v>
      </c>
    </row>
    <row r="118" spans="3:3" x14ac:dyDescent="0.25">
      <c r="C118" t="s">
        <v>266</v>
      </c>
    </row>
    <row r="119" spans="3:3" x14ac:dyDescent="0.25">
      <c r="C119" t="s">
        <v>258</v>
      </c>
    </row>
    <row r="120" spans="3:3" x14ac:dyDescent="0.25">
      <c r="C120" t="s">
        <v>356</v>
      </c>
    </row>
    <row r="121" spans="3:3" x14ac:dyDescent="0.25">
      <c r="C121" t="s">
        <v>301</v>
      </c>
    </row>
    <row r="122" spans="3:3" x14ac:dyDescent="0.25">
      <c r="C122" t="s">
        <v>302</v>
      </c>
    </row>
    <row r="123" spans="3:3" x14ac:dyDescent="0.25">
      <c r="C123" t="s">
        <v>300</v>
      </c>
    </row>
    <row r="124" spans="3:3" x14ac:dyDescent="0.25">
      <c r="C124" t="s">
        <v>246</v>
      </c>
    </row>
    <row r="125" spans="3:3" x14ac:dyDescent="0.25">
      <c r="C125" t="s">
        <v>182</v>
      </c>
    </row>
    <row r="126" spans="3:3" x14ac:dyDescent="0.25">
      <c r="C126" t="s">
        <v>257</v>
      </c>
    </row>
    <row r="127" spans="3:3" x14ac:dyDescent="0.25">
      <c r="C127" t="s">
        <v>363</v>
      </c>
    </row>
    <row r="128" spans="3:3" x14ac:dyDescent="0.25">
      <c r="C128" t="s">
        <v>291</v>
      </c>
    </row>
    <row r="129" spans="3:3" x14ac:dyDescent="0.25">
      <c r="C129" t="s">
        <v>391</v>
      </c>
    </row>
    <row r="130" spans="3:3" x14ac:dyDescent="0.25">
      <c r="C130" t="s">
        <v>296</v>
      </c>
    </row>
    <row r="131" spans="3:3" x14ac:dyDescent="0.25">
      <c r="C131" t="s">
        <v>297</v>
      </c>
    </row>
    <row r="132" spans="3:3" x14ac:dyDescent="0.25">
      <c r="C132" t="s">
        <v>298</v>
      </c>
    </row>
    <row r="133" spans="3:3" x14ac:dyDescent="0.25">
      <c r="C133" t="s">
        <v>261</v>
      </c>
    </row>
    <row r="134" spans="3:3" x14ac:dyDescent="0.25">
      <c r="C134" t="s">
        <v>294</v>
      </c>
    </row>
    <row r="135" spans="3:3" x14ac:dyDescent="0.25">
      <c r="C135" t="s">
        <v>360</v>
      </c>
    </row>
    <row r="136" spans="3:3" x14ac:dyDescent="0.25">
      <c r="C136" t="s">
        <v>365</v>
      </c>
    </row>
    <row r="137" spans="3:3" x14ac:dyDescent="0.25">
      <c r="C137" t="s">
        <v>381</v>
      </c>
    </row>
    <row r="138" spans="3:3" x14ac:dyDescent="0.25">
      <c r="C138" t="s">
        <v>253</v>
      </c>
    </row>
    <row r="139" spans="3:3" x14ac:dyDescent="0.25">
      <c r="C139" t="s">
        <v>343</v>
      </c>
    </row>
    <row r="140" spans="3:3" x14ac:dyDescent="0.25">
      <c r="C140" t="s">
        <v>292</v>
      </c>
    </row>
    <row r="141" spans="3:3" x14ac:dyDescent="0.25">
      <c r="C141" t="s">
        <v>177</v>
      </c>
    </row>
    <row r="142" spans="3:3" x14ac:dyDescent="0.25">
      <c r="C142" t="s">
        <v>255</v>
      </c>
    </row>
    <row r="143" spans="3:3" x14ac:dyDescent="0.25">
      <c r="C143" t="s">
        <v>295</v>
      </c>
    </row>
    <row r="144" spans="3:3" x14ac:dyDescent="0.25">
      <c r="C144" t="s">
        <v>287</v>
      </c>
    </row>
    <row r="145" spans="3:3" x14ac:dyDescent="0.25">
      <c r="C145" t="s">
        <v>265</v>
      </c>
    </row>
    <row r="146" spans="3:3" x14ac:dyDescent="0.25">
      <c r="C146" t="s">
        <v>339</v>
      </c>
    </row>
    <row r="147" spans="3:3" x14ac:dyDescent="0.25">
      <c r="C147" t="s">
        <v>290</v>
      </c>
    </row>
    <row r="148" spans="3:3" x14ac:dyDescent="0.25">
      <c r="C148" t="s">
        <v>245</v>
      </c>
    </row>
    <row r="149" spans="3:3" x14ac:dyDescent="0.25">
      <c r="C149" t="s">
        <v>206</v>
      </c>
    </row>
    <row r="150" spans="3:3" x14ac:dyDescent="0.25">
      <c r="C150" t="s">
        <v>372</v>
      </c>
    </row>
    <row r="151" spans="3:3" x14ac:dyDescent="0.25">
      <c r="C151" t="s">
        <v>175</v>
      </c>
    </row>
    <row r="152" spans="3:3" x14ac:dyDescent="0.25">
      <c r="C152" t="s">
        <v>366</v>
      </c>
    </row>
    <row r="153" spans="3:3" x14ac:dyDescent="0.25">
      <c r="C153" t="s">
        <v>359</v>
      </c>
    </row>
    <row r="154" spans="3:3" x14ac:dyDescent="0.25">
      <c r="C154" t="s">
        <v>393</v>
      </c>
    </row>
    <row r="155" spans="3:3" x14ac:dyDescent="0.25">
      <c r="C155" t="s">
        <v>208</v>
      </c>
    </row>
    <row r="156" spans="3:3" x14ac:dyDescent="0.25">
      <c r="C156" t="s">
        <v>368</v>
      </c>
    </row>
    <row r="157" spans="3:3" x14ac:dyDescent="0.25">
      <c r="C157" t="s">
        <v>209</v>
      </c>
    </row>
    <row r="158" spans="3:3" x14ac:dyDescent="0.25">
      <c r="C158" t="s">
        <v>288</v>
      </c>
    </row>
    <row r="159" spans="3:3" x14ac:dyDescent="0.25">
      <c r="C159" t="s">
        <v>254</v>
      </c>
    </row>
    <row r="160" spans="3:3" x14ac:dyDescent="0.25">
      <c r="C160" t="s">
        <v>256</v>
      </c>
    </row>
    <row r="161" spans="3:3" x14ac:dyDescent="0.25">
      <c r="C161" t="s">
        <v>362</v>
      </c>
    </row>
    <row r="162" spans="3:3" x14ac:dyDescent="0.25">
      <c r="C162" t="s">
        <v>203</v>
      </c>
    </row>
    <row r="163" spans="3:3" x14ac:dyDescent="0.25">
      <c r="C163" t="s">
        <v>355</v>
      </c>
    </row>
    <row r="164" spans="3:3" x14ac:dyDescent="0.25">
      <c r="C164" t="s">
        <v>179</v>
      </c>
    </row>
    <row r="165" spans="3:3" x14ac:dyDescent="0.25">
      <c r="C165" t="s">
        <v>371</v>
      </c>
    </row>
    <row r="166" spans="3:3" x14ac:dyDescent="0.25">
      <c r="C166" t="s">
        <v>263</v>
      </c>
    </row>
    <row r="167" spans="3:3" x14ac:dyDescent="0.25">
      <c r="C167" t="s">
        <v>394</v>
      </c>
    </row>
    <row r="168" spans="3:3" x14ac:dyDescent="0.25">
      <c r="C168" t="s">
        <v>375</v>
      </c>
    </row>
    <row r="169" spans="3:3" x14ac:dyDescent="0.25">
      <c r="C169" t="s">
        <v>259</v>
      </c>
    </row>
    <row r="170" spans="3:3" x14ac:dyDescent="0.25">
      <c r="C170" t="s">
        <v>264</v>
      </c>
    </row>
    <row r="171" spans="3:3" x14ac:dyDescent="0.25">
      <c r="C171" t="s">
        <v>262</v>
      </c>
    </row>
    <row r="172" spans="3:3" x14ac:dyDescent="0.25">
      <c r="C172" t="s">
        <v>342</v>
      </c>
    </row>
    <row r="173" spans="3:3" x14ac:dyDescent="0.25">
      <c r="C173" t="s">
        <v>178</v>
      </c>
    </row>
    <row r="174" spans="3:3" x14ac:dyDescent="0.25">
      <c r="C174" t="s">
        <v>176</v>
      </c>
    </row>
    <row r="175" spans="3:3" x14ac:dyDescent="0.25">
      <c r="C175" t="s">
        <v>299</v>
      </c>
    </row>
    <row r="176" spans="3:3" x14ac:dyDescent="0.25">
      <c r="C176" t="s">
        <v>344</v>
      </c>
    </row>
    <row r="177" spans="2:3" x14ac:dyDescent="0.25">
      <c r="B177" t="s">
        <v>39</v>
      </c>
      <c r="C177" t="s">
        <v>399</v>
      </c>
    </row>
    <row r="178" spans="2:3" x14ac:dyDescent="0.25">
      <c r="C178" t="s">
        <v>400</v>
      </c>
    </row>
    <row r="179" spans="2:3" x14ac:dyDescent="0.25">
      <c r="B179" t="s">
        <v>40</v>
      </c>
      <c r="C179" t="s">
        <v>271</v>
      </c>
    </row>
    <row r="180" spans="2:3" x14ac:dyDescent="0.25">
      <c r="B180" t="s">
        <v>41</v>
      </c>
      <c r="C180" t="s">
        <v>432</v>
      </c>
    </row>
    <row r="181" spans="2:3" x14ac:dyDescent="0.25">
      <c r="B181" t="s">
        <v>42</v>
      </c>
      <c r="C181" t="s">
        <v>329</v>
      </c>
    </row>
    <row r="182" spans="2:3" x14ac:dyDescent="0.25">
      <c r="C182" t="s">
        <v>327</v>
      </c>
    </row>
    <row r="183" spans="2:3" x14ac:dyDescent="0.25">
      <c r="C183" t="s">
        <v>328</v>
      </c>
    </row>
    <row r="184" spans="2:3" x14ac:dyDescent="0.25">
      <c r="C184" t="s">
        <v>330</v>
      </c>
    </row>
    <row r="185" spans="2:3" x14ac:dyDescent="0.25">
      <c r="B185" t="s">
        <v>43</v>
      </c>
      <c r="C185" t="s">
        <v>420</v>
      </c>
    </row>
    <row r="186" spans="2:3" x14ac:dyDescent="0.25">
      <c r="B186" t="s">
        <v>44</v>
      </c>
      <c r="C186" t="s">
        <v>269</v>
      </c>
    </row>
    <row r="187" spans="2:3" x14ac:dyDescent="0.25">
      <c r="C187" t="s">
        <v>267</v>
      </c>
    </row>
    <row r="188" spans="2:3" x14ac:dyDescent="0.25">
      <c r="C188" t="s">
        <v>268</v>
      </c>
    </row>
    <row r="189" spans="2:3" x14ac:dyDescent="0.25">
      <c r="C189" t="s">
        <v>337</v>
      </c>
    </row>
    <row r="190" spans="2:3" x14ac:dyDescent="0.25">
      <c r="C190" t="s">
        <v>197</v>
      </c>
    </row>
    <row r="191" spans="2:3" x14ac:dyDescent="0.25">
      <c r="C191" t="s">
        <v>338</v>
      </c>
    </row>
    <row r="192" spans="2:3" x14ac:dyDescent="0.25">
      <c r="B192" t="s">
        <v>133</v>
      </c>
      <c r="C192" t="s">
        <v>241</v>
      </c>
    </row>
    <row r="193" spans="2:3" x14ac:dyDescent="0.25">
      <c r="C193" t="s">
        <v>242</v>
      </c>
    </row>
    <row r="194" spans="2:3" x14ac:dyDescent="0.25">
      <c r="B194" t="s">
        <v>45</v>
      </c>
      <c r="C194" t="s">
        <v>183</v>
      </c>
    </row>
    <row r="195" spans="2:3" x14ac:dyDescent="0.25">
      <c r="C195" t="s">
        <v>280</v>
      </c>
    </row>
    <row r="196" spans="2:3" x14ac:dyDescent="0.25">
      <c r="B196" t="s">
        <v>46</v>
      </c>
      <c r="C196" t="s">
        <v>320</v>
      </c>
    </row>
    <row r="197" spans="2:3" x14ac:dyDescent="0.25">
      <c r="C197" t="s">
        <v>321</v>
      </c>
    </row>
    <row r="198" spans="2:3" x14ac:dyDescent="0.25">
      <c r="B198" t="s">
        <v>47</v>
      </c>
      <c r="C198" t="s">
        <v>346</v>
      </c>
    </row>
    <row r="199" spans="2:3" x14ac:dyDescent="0.25">
      <c r="C199" t="s">
        <v>240</v>
      </c>
    </row>
    <row r="200" spans="2:3" x14ac:dyDescent="0.25">
      <c r="C200" t="s">
        <v>392</v>
      </c>
    </row>
    <row r="201" spans="2:3" x14ac:dyDescent="0.25">
      <c r="C201" t="s">
        <v>207</v>
      </c>
    </row>
    <row r="202" spans="2:3" x14ac:dyDescent="0.25">
      <c r="B202" t="s">
        <v>48</v>
      </c>
      <c r="C202" t="s">
        <v>429</v>
      </c>
    </row>
    <row r="203" spans="2:3" x14ac:dyDescent="0.25">
      <c r="B203" t="s">
        <v>49</v>
      </c>
      <c r="C203" t="s">
        <v>227</v>
      </c>
    </row>
    <row r="204" spans="2:3" x14ac:dyDescent="0.25">
      <c r="B204" t="s">
        <v>50</v>
      </c>
      <c r="C204" t="s">
        <v>172</v>
      </c>
    </row>
    <row r="205" spans="2:3" x14ac:dyDescent="0.25">
      <c r="C205" t="s">
        <v>235</v>
      </c>
    </row>
    <row r="206" spans="2:3" x14ac:dyDescent="0.25">
      <c r="C206" t="s">
        <v>174</v>
      </c>
    </row>
    <row r="207" spans="2:3" x14ac:dyDescent="0.25">
      <c r="C207" t="s">
        <v>446</v>
      </c>
    </row>
    <row r="208" spans="2:3" x14ac:dyDescent="0.25">
      <c r="C208" t="s">
        <v>239</v>
      </c>
    </row>
    <row r="209" spans="3:3" x14ac:dyDescent="0.25">
      <c r="C209" t="s">
        <v>447</v>
      </c>
    </row>
    <row r="210" spans="3:3" x14ac:dyDescent="0.25">
      <c r="C210" t="s">
        <v>444</v>
      </c>
    </row>
    <row r="211" spans="3:3" x14ac:dyDescent="0.25">
      <c r="C211" t="s">
        <v>437</v>
      </c>
    </row>
    <row r="212" spans="3:3" x14ac:dyDescent="0.25">
      <c r="C212" t="s">
        <v>452</v>
      </c>
    </row>
    <row r="213" spans="3:3" x14ac:dyDescent="0.25">
      <c r="C213" t="s">
        <v>450</v>
      </c>
    </row>
    <row r="214" spans="3:3" x14ac:dyDescent="0.25">
      <c r="C214" t="s">
        <v>435</v>
      </c>
    </row>
    <row r="215" spans="3:3" x14ac:dyDescent="0.25">
      <c r="C215" t="s">
        <v>173</v>
      </c>
    </row>
    <row r="216" spans="3:3" x14ac:dyDescent="0.25">
      <c r="C216" t="s">
        <v>445</v>
      </c>
    </row>
    <row r="217" spans="3:3" x14ac:dyDescent="0.25">
      <c r="C217" t="s">
        <v>433</v>
      </c>
    </row>
    <row r="218" spans="3:3" x14ac:dyDescent="0.25">
      <c r="C218" t="s">
        <v>451</v>
      </c>
    </row>
    <row r="219" spans="3:3" x14ac:dyDescent="0.25">
      <c r="C219" t="s">
        <v>234</v>
      </c>
    </row>
    <row r="220" spans="3:3" x14ac:dyDescent="0.25">
      <c r="C220" t="s">
        <v>439</v>
      </c>
    </row>
    <row r="221" spans="3:3" x14ac:dyDescent="0.25">
      <c r="C221" t="s">
        <v>443</v>
      </c>
    </row>
    <row r="222" spans="3:3" x14ac:dyDescent="0.25">
      <c r="C222" t="s">
        <v>233</v>
      </c>
    </row>
    <row r="223" spans="3:3" x14ac:dyDescent="0.25">
      <c r="C223" t="s">
        <v>238</v>
      </c>
    </row>
    <row r="224" spans="3:3" x14ac:dyDescent="0.25">
      <c r="C224" t="s">
        <v>436</v>
      </c>
    </row>
    <row r="225" spans="2:3" x14ac:dyDescent="0.25">
      <c r="C225" t="s">
        <v>454</v>
      </c>
    </row>
    <row r="226" spans="2:3" x14ac:dyDescent="0.25">
      <c r="C226" t="s">
        <v>231</v>
      </c>
    </row>
    <row r="227" spans="2:3" x14ac:dyDescent="0.25">
      <c r="C227" t="s">
        <v>438</v>
      </c>
    </row>
    <row r="228" spans="2:3" x14ac:dyDescent="0.25">
      <c r="C228" t="s">
        <v>232</v>
      </c>
    </row>
    <row r="229" spans="2:3" x14ac:dyDescent="0.25">
      <c r="C229" t="s">
        <v>434</v>
      </c>
    </row>
    <row r="230" spans="2:3" x14ac:dyDescent="0.25">
      <c r="C230" t="s">
        <v>213</v>
      </c>
    </row>
    <row r="231" spans="2:3" x14ac:dyDescent="0.25">
      <c r="C231" t="s">
        <v>441</v>
      </c>
    </row>
    <row r="232" spans="2:3" x14ac:dyDescent="0.25">
      <c r="C232" t="s">
        <v>440</v>
      </c>
    </row>
    <row r="233" spans="2:3" x14ac:dyDescent="0.25">
      <c r="C233" t="s">
        <v>449</v>
      </c>
    </row>
    <row r="234" spans="2:3" x14ac:dyDescent="0.25">
      <c r="C234" t="s">
        <v>453</v>
      </c>
    </row>
    <row r="235" spans="2:3" x14ac:dyDescent="0.25">
      <c r="C235" t="s">
        <v>448</v>
      </c>
    </row>
    <row r="236" spans="2:3" x14ac:dyDescent="0.25">
      <c r="C236" t="s">
        <v>442</v>
      </c>
    </row>
    <row r="237" spans="2:3" x14ac:dyDescent="0.25">
      <c r="B237" t="s">
        <v>51</v>
      </c>
      <c r="C237" t="s">
        <v>323</v>
      </c>
    </row>
    <row r="238" spans="2:3" x14ac:dyDescent="0.25">
      <c r="C238" t="s">
        <v>322</v>
      </c>
    </row>
    <row r="239" spans="2:3" x14ac:dyDescent="0.25">
      <c r="B239" t="s">
        <v>275</v>
      </c>
      <c r="C239" t="s">
        <v>276</v>
      </c>
    </row>
    <row r="240" spans="2:3" x14ac:dyDescent="0.25">
      <c r="C240" t="s">
        <v>324</v>
      </c>
    </row>
    <row r="241" spans="1:3" x14ac:dyDescent="0.25">
      <c r="C241" t="s">
        <v>333</v>
      </c>
    </row>
    <row r="242" spans="1:3" x14ac:dyDescent="0.25">
      <c r="C242" t="s">
        <v>277</v>
      </c>
    </row>
    <row r="243" spans="1:3" x14ac:dyDescent="0.25">
      <c r="C243" t="s">
        <v>331</v>
      </c>
    </row>
    <row r="244" spans="1:3" x14ac:dyDescent="0.25">
      <c r="A244" t="s">
        <v>52</v>
      </c>
      <c r="B244" t="s">
        <v>52</v>
      </c>
      <c r="C244" t="s">
        <v>455</v>
      </c>
    </row>
    <row r="245" spans="1:3" x14ac:dyDescent="0.25">
      <c r="C245" t="s">
        <v>456</v>
      </c>
    </row>
    <row r="246" spans="1:3" x14ac:dyDescent="0.25">
      <c r="C246" t="s">
        <v>216</v>
      </c>
    </row>
    <row r="247" spans="1:3" x14ac:dyDescent="0.25">
      <c r="C247" t="s">
        <v>457</v>
      </c>
    </row>
    <row r="248" spans="1:3" x14ac:dyDescent="0.25">
      <c r="C248" t="s">
        <v>171</v>
      </c>
    </row>
    <row r="249" spans="1:3" x14ac:dyDescent="0.25">
      <c r="B249" t="s">
        <v>53</v>
      </c>
      <c r="C249" t="s">
        <v>458</v>
      </c>
    </row>
    <row r="250" spans="1:3" x14ac:dyDescent="0.25">
      <c r="A250" t="s">
        <v>54</v>
      </c>
      <c r="B250">
        <v>0</v>
      </c>
      <c r="C250" t="s">
        <v>214</v>
      </c>
    </row>
    <row r="251" spans="1:3" x14ac:dyDescent="0.25">
      <c r="C251" t="s">
        <v>200</v>
      </c>
    </row>
    <row r="252" spans="1:3" x14ac:dyDescent="0.25">
      <c r="A252" t="s">
        <v>55</v>
      </c>
      <c r="B252" t="s">
        <v>56</v>
      </c>
      <c r="C252" t="s">
        <v>190</v>
      </c>
    </row>
    <row r="253" spans="1:3" x14ac:dyDescent="0.25">
      <c r="B253" t="s">
        <v>55</v>
      </c>
      <c r="C253" t="s">
        <v>194</v>
      </c>
    </row>
    <row r="254" spans="1:3" x14ac:dyDescent="0.25">
      <c r="C254" t="s">
        <v>198</v>
      </c>
    </row>
    <row r="255" spans="1:3" x14ac:dyDescent="0.25">
      <c r="C255" t="s">
        <v>193</v>
      </c>
    </row>
    <row r="256" spans="1:3" x14ac:dyDescent="0.25">
      <c r="C256" t="s">
        <v>349</v>
      </c>
    </row>
    <row r="257" spans="1:3" x14ac:dyDescent="0.25">
      <c r="C257" t="s">
        <v>192</v>
      </c>
    </row>
    <row r="258" spans="1:3" x14ac:dyDescent="0.25">
      <c r="C258" t="s">
        <v>191</v>
      </c>
    </row>
    <row r="259" spans="1:3" x14ac:dyDescent="0.25">
      <c r="A259" t="s">
        <v>57</v>
      </c>
      <c r="B259" t="s">
        <v>57</v>
      </c>
      <c r="C259" t="s">
        <v>464</v>
      </c>
    </row>
    <row r="260" spans="1:3" x14ac:dyDescent="0.25">
      <c r="C260" t="s">
        <v>403</v>
      </c>
    </row>
    <row r="261" spans="1:3" x14ac:dyDescent="0.25">
      <c r="C261" t="s">
        <v>461</v>
      </c>
    </row>
    <row r="262" spans="1:3" x14ac:dyDescent="0.25">
      <c r="C262" t="s">
        <v>460</v>
      </c>
    </row>
    <row r="263" spans="1:3" x14ac:dyDescent="0.25">
      <c r="C263" t="s">
        <v>462</v>
      </c>
    </row>
    <row r="264" spans="1:3" x14ac:dyDescent="0.25">
      <c r="C264" t="s">
        <v>463</v>
      </c>
    </row>
    <row r="265" spans="1:3" x14ac:dyDescent="0.25">
      <c r="B265" t="s">
        <v>58</v>
      </c>
      <c r="C265" t="s">
        <v>170</v>
      </c>
    </row>
    <row r="266" spans="1:3" x14ac:dyDescent="0.25">
      <c r="C266" t="s">
        <v>466</v>
      </c>
    </row>
    <row r="267" spans="1:3" x14ac:dyDescent="0.25">
      <c r="A267" t="s">
        <v>59</v>
      </c>
      <c r="B267" t="s">
        <v>59</v>
      </c>
      <c r="C267" t="s">
        <v>199</v>
      </c>
    </row>
    <row r="268" spans="1:3" x14ac:dyDescent="0.25">
      <c r="A268" t="s">
        <v>98</v>
      </c>
      <c r="B268" t="s">
        <v>134</v>
      </c>
      <c r="C268" t="s">
        <v>468</v>
      </c>
    </row>
    <row r="269" spans="1:3" x14ac:dyDescent="0.25">
      <c r="C269" t="s">
        <v>307</v>
      </c>
    </row>
    <row r="270" spans="1:3" x14ac:dyDescent="0.25">
      <c r="C270" t="s">
        <v>467</v>
      </c>
    </row>
    <row r="271" spans="1:3" x14ac:dyDescent="0.25">
      <c r="C271" t="s">
        <v>305</v>
      </c>
    </row>
    <row r="272" spans="1:3" x14ac:dyDescent="0.25">
      <c r="C272" t="s">
        <v>306</v>
      </c>
    </row>
    <row r="273" spans="1:3" x14ac:dyDescent="0.25">
      <c r="C273" t="s">
        <v>304</v>
      </c>
    </row>
    <row r="274" spans="1:3" x14ac:dyDescent="0.25">
      <c r="C274" t="s">
        <v>303</v>
      </c>
    </row>
    <row r="275" spans="1:3" x14ac:dyDescent="0.25">
      <c r="C275" t="s">
        <v>308</v>
      </c>
    </row>
    <row r="276" spans="1:3" x14ac:dyDescent="0.25">
      <c r="C276" t="s">
        <v>469</v>
      </c>
    </row>
    <row r="277" spans="1:3" x14ac:dyDescent="0.25">
      <c r="B277" t="s">
        <v>111</v>
      </c>
      <c r="C277" t="s">
        <v>312</v>
      </c>
    </row>
    <row r="278" spans="1:3" x14ac:dyDescent="0.25">
      <c r="C278" t="s">
        <v>475</v>
      </c>
    </row>
    <row r="279" spans="1:3" x14ac:dyDescent="0.25">
      <c r="C279" t="s">
        <v>311</v>
      </c>
    </row>
    <row r="280" spans="1:3" x14ac:dyDescent="0.25">
      <c r="C280" t="s">
        <v>166</v>
      </c>
    </row>
    <row r="281" spans="1:3" x14ac:dyDescent="0.25">
      <c r="C281" t="s">
        <v>314</v>
      </c>
    </row>
    <row r="282" spans="1:3" x14ac:dyDescent="0.25">
      <c r="C282" t="s">
        <v>471</v>
      </c>
    </row>
    <row r="283" spans="1:3" x14ac:dyDescent="0.25">
      <c r="C283" t="s">
        <v>313</v>
      </c>
    </row>
    <row r="284" spans="1:3" x14ac:dyDescent="0.25">
      <c r="B284" t="s">
        <v>98</v>
      </c>
      <c r="C284" t="s">
        <v>310</v>
      </c>
    </row>
    <row r="285" spans="1:3" x14ac:dyDescent="0.25">
      <c r="C285" t="s">
        <v>309</v>
      </c>
    </row>
    <row r="286" spans="1:3" x14ac:dyDescent="0.25">
      <c r="C286" t="s">
        <v>169</v>
      </c>
    </row>
    <row r="287" spans="1:3" x14ac:dyDescent="0.25">
      <c r="A287" t="s">
        <v>60</v>
      </c>
      <c r="B287">
        <v>0</v>
      </c>
      <c r="C287" t="s">
        <v>465</v>
      </c>
    </row>
    <row r="288" spans="1:3" x14ac:dyDescent="0.25">
      <c r="A288" t="s">
        <v>61</v>
      </c>
      <c r="B288" t="s">
        <v>62</v>
      </c>
      <c r="C288" t="s">
        <v>405</v>
      </c>
    </row>
    <row r="289" spans="1:3" x14ac:dyDescent="0.25">
      <c r="B289" t="s">
        <v>63</v>
      </c>
      <c r="C289" t="s">
        <v>404</v>
      </c>
    </row>
    <row r="290" spans="1:3" x14ac:dyDescent="0.25">
      <c r="B290" t="s">
        <v>61</v>
      </c>
      <c r="C290" t="s">
        <v>401</v>
      </c>
    </row>
    <row r="291" spans="1:3" x14ac:dyDescent="0.25">
      <c r="C291" t="s">
        <v>220</v>
      </c>
    </row>
    <row r="292" spans="1:3" x14ac:dyDescent="0.25">
      <c r="C292" t="s">
        <v>219</v>
      </c>
    </row>
    <row r="293" spans="1:3" x14ac:dyDescent="0.25">
      <c r="C293" t="s">
        <v>218</v>
      </c>
    </row>
    <row r="294" spans="1:3" x14ac:dyDescent="0.25">
      <c r="C294" t="s">
        <v>402</v>
      </c>
    </row>
    <row r="295" spans="1:3" x14ac:dyDescent="0.25">
      <c r="A295" t="s">
        <v>64</v>
      </c>
      <c r="B295">
        <v>0</v>
      </c>
      <c r="C295" t="s">
        <v>459</v>
      </c>
    </row>
    <row r="296" spans="1:3" x14ac:dyDescent="0.25">
      <c r="A296" t="s">
        <v>3</v>
      </c>
      <c r="B296" t="s">
        <v>3</v>
      </c>
      <c r="C296" t="s">
        <v>3</v>
      </c>
    </row>
    <row r="297" spans="1:3" x14ac:dyDescent="0.25">
      <c r="A297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3940-9A4A-415B-BF79-3731C17DA36E}">
  <sheetPr>
    <tabColor theme="3" tint="0.89999084444715716"/>
  </sheetPr>
  <dimension ref="A1:U163"/>
  <sheetViews>
    <sheetView topLeftCell="F1" workbookViewId="0">
      <selection activeCell="K105" sqref="K105"/>
    </sheetView>
  </sheetViews>
  <sheetFormatPr defaultRowHeight="15.75" x14ac:dyDescent="0.25"/>
  <cols>
    <col min="1" max="1" width="10.375" customWidth="1"/>
    <col min="2" max="2" width="17.125" customWidth="1"/>
    <col min="3" max="3" width="10" bestFit="1" customWidth="1"/>
    <col min="6" max="6" width="12.5" bestFit="1" customWidth="1"/>
    <col min="7" max="7" width="16.375" style="14" bestFit="1" customWidth="1"/>
    <col min="8" max="8" width="9.25" style="14" customWidth="1"/>
    <col min="9" max="9" width="8.25" style="14" customWidth="1"/>
    <col min="10" max="10" width="10.375" style="14" bestFit="1" customWidth="1"/>
    <col min="11" max="11" width="9.125" style="14" customWidth="1"/>
    <col min="12" max="12" width="2.75" style="14" customWidth="1"/>
    <col min="13" max="13" width="3.125" style="14" customWidth="1"/>
    <col min="14" max="14" width="10.375" style="14" bestFit="1" customWidth="1"/>
    <col min="15" max="15" width="6.875" style="14" bestFit="1" customWidth="1"/>
    <col min="16" max="16" width="10.25" style="14" customWidth="1"/>
    <col min="17" max="17" width="10.75" customWidth="1"/>
    <col min="18" max="18" width="10.625" customWidth="1"/>
    <col min="19" max="19" width="17" customWidth="1"/>
    <col min="20" max="20" width="10.375" customWidth="1"/>
  </cols>
  <sheetData>
    <row r="1" spans="1:21" x14ac:dyDescent="0.25">
      <c r="A1" s="38" t="s">
        <v>578</v>
      </c>
      <c r="B1" s="38" t="s">
        <v>65</v>
      </c>
      <c r="C1" s="38" t="s">
        <v>66</v>
      </c>
      <c r="D1" s="38" t="s">
        <v>583</v>
      </c>
      <c r="F1" s="13" t="s">
        <v>67</v>
      </c>
      <c r="G1"/>
      <c r="H1" s="14" t="s">
        <v>583</v>
      </c>
      <c r="I1" s="14" t="s">
        <v>66</v>
      </c>
    </row>
    <row r="2" spans="1:21" x14ac:dyDescent="0.25">
      <c r="A2" t="s">
        <v>5</v>
      </c>
      <c r="B2" s="14" t="s">
        <v>68</v>
      </c>
      <c r="C2" s="14" t="s">
        <v>0</v>
      </c>
      <c r="D2" t="s">
        <v>584</v>
      </c>
      <c r="G2"/>
      <c r="H2" s="14" t="s">
        <v>585</v>
      </c>
      <c r="K2" s="14" t="s">
        <v>584</v>
      </c>
      <c r="P2" s="14" t="s">
        <v>4</v>
      </c>
      <c r="Q2" s="38" t="s">
        <v>586</v>
      </c>
      <c r="R2" s="38" t="s">
        <v>584</v>
      </c>
      <c r="S2" s="38"/>
    </row>
    <row r="3" spans="1:21" x14ac:dyDescent="0.25">
      <c r="A3" t="s">
        <v>5</v>
      </c>
      <c r="B3" s="14" t="s">
        <v>6</v>
      </c>
      <c r="C3" s="14" t="s">
        <v>0</v>
      </c>
      <c r="D3" t="s">
        <v>584</v>
      </c>
      <c r="F3" s="13" t="s">
        <v>578</v>
      </c>
      <c r="G3" s="13" t="s">
        <v>65</v>
      </c>
      <c r="H3" s="14" t="s">
        <v>0</v>
      </c>
      <c r="I3" s="14" t="s">
        <v>1</v>
      </c>
      <c r="J3" s="14" t="s">
        <v>98</v>
      </c>
      <c r="K3" s="14" t="s">
        <v>0</v>
      </c>
      <c r="L3" s="14" t="s">
        <v>1</v>
      </c>
      <c r="M3" s="14" t="s">
        <v>503</v>
      </c>
      <c r="N3" s="14" t="s">
        <v>98</v>
      </c>
      <c r="O3" s="14" t="s">
        <v>2</v>
      </c>
      <c r="Q3" s="38" t="s">
        <v>69</v>
      </c>
      <c r="R3" s="38" t="s">
        <v>69</v>
      </c>
      <c r="S3" s="38" t="s">
        <v>70</v>
      </c>
      <c r="T3" s="38" t="s">
        <v>587</v>
      </c>
    </row>
    <row r="4" spans="1:21" x14ac:dyDescent="0.25">
      <c r="A4" t="s">
        <v>5</v>
      </c>
      <c r="B4" s="14" t="s">
        <v>5</v>
      </c>
      <c r="C4" s="14" t="s">
        <v>1</v>
      </c>
      <c r="D4" t="s">
        <v>584</v>
      </c>
      <c r="F4" t="s">
        <v>5</v>
      </c>
      <c r="G4" t="s">
        <v>68</v>
      </c>
      <c r="K4" s="14">
        <v>1</v>
      </c>
      <c r="P4" s="14">
        <v>1</v>
      </c>
      <c r="Q4" t="s">
        <v>503</v>
      </c>
      <c r="R4" t="s">
        <v>0</v>
      </c>
      <c r="S4" t="str">
        <f>IF(Q4=R4,"Yes",IF(Q4="NA","No mol","No"))</f>
        <v>No mol</v>
      </c>
      <c r="T4" t="s">
        <v>0</v>
      </c>
      <c r="U4" t="s">
        <v>588</v>
      </c>
    </row>
    <row r="5" spans="1:21" x14ac:dyDescent="0.25">
      <c r="A5" t="s">
        <v>5</v>
      </c>
      <c r="B5" s="14" t="s">
        <v>7</v>
      </c>
      <c r="C5" s="14" t="s">
        <v>1</v>
      </c>
      <c r="D5" t="s">
        <v>584</v>
      </c>
      <c r="G5" t="s">
        <v>6</v>
      </c>
      <c r="H5" s="14">
        <v>1</v>
      </c>
      <c r="K5" s="14">
        <v>1</v>
      </c>
      <c r="P5" s="14">
        <v>2</v>
      </c>
      <c r="Q5" t="s">
        <v>0</v>
      </c>
      <c r="R5" t="s">
        <v>0</v>
      </c>
      <c r="S5" t="str">
        <f t="shared" ref="S5:S9" si="0">IF(Q5=R5,"Yes",IF(Q5="NA","No mol","No"))</f>
        <v>Yes</v>
      </c>
      <c r="T5" t="s">
        <v>0</v>
      </c>
    </row>
    <row r="6" spans="1:21" x14ac:dyDescent="0.25">
      <c r="A6" t="s">
        <v>5</v>
      </c>
      <c r="B6" s="14" t="s">
        <v>71</v>
      </c>
      <c r="C6" s="14" t="s">
        <v>1</v>
      </c>
      <c r="D6" t="s">
        <v>584</v>
      </c>
      <c r="G6" t="s">
        <v>5</v>
      </c>
      <c r="I6" s="14">
        <v>1</v>
      </c>
      <c r="L6" s="14">
        <v>1</v>
      </c>
      <c r="P6" s="14">
        <v>2</v>
      </c>
      <c r="Q6" t="s">
        <v>1</v>
      </c>
      <c r="R6" t="s">
        <v>1</v>
      </c>
      <c r="S6" t="str">
        <f t="shared" si="0"/>
        <v>Yes</v>
      </c>
      <c r="T6" t="s">
        <v>1</v>
      </c>
    </row>
    <row r="7" spans="1:21" x14ac:dyDescent="0.25">
      <c r="A7" t="s">
        <v>5</v>
      </c>
      <c r="B7" s="14" t="s">
        <v>72</v>
      </c>
      <c r="C7" s="14" t="s">
        <v>1</v>
      </c>
      <c r="D7" t="s">
        <v>584</v>
      </c>
      <c r="G7" t="s">
        <v>7</v>
      </c>
      <c r="I7" s="14">
        <v>1</v>
      </c>
      <c r="L7" s="14">
        <v>1</v>
      </c>
      <c r="P7" s="14">
        <v>2</v>
      </c>
      <c r="Q7" t="s">
        <v>1</v>
      </c>
      <c r="R7" t="s">
        <v>1</v>
      </c>
      <c r="S7" t="str">
        <f t="shared" si="0"/>
        <v>Yes</v>
      </c>
      <c r="T7" t="s">
        <v>1</v>
      </c>
    </row>
    <row r="8" spans="1:21" x14ac:dyDescent="0.25">
      <c r="A8" t="s">
        <v>5</v>
      </c>
      <c r="B8" s="14" t="s">
        <v>73</v>
      </c>
      <c r="C8" s="14" t="s">
        <v>1</v>
      </c>
      <c r="D8" t="s">
        <v>584</v>
      </c>
      <c r="G8" t="s">
        <v>71</v>
      </c>
      <c r="L8" s="14">
        <v>1</v>
      </c>
      <c r="P8" s="14">
        <v>1</v>
      </c>
      <c r="Q8" t="s">
        <v>503</v>
      </c>
      <c r="R8" t="s">
        <v>1</v>
      </c>
      <c r="S8" t="str">
        <f t="shared" si="0"/>
        <v>No mol</v>
      </c>
      <c r="T8" t="s">
        <v>1</v>
      </c>
    </row>
    <row r="9" spans="1:21" x14ac:dyDescent="0.25">
      <c r="A9" t="s">
        <v>5</v>
      </c>
      <c r="B9" s="14" t="s">
        <v>74</v>
      </c>
      <c r="C9" s="14" t="s">
        <v>0</v>
      </c>
      <c r="D9" t="s">
        <v>584</v>
      </c>
      <c r="G9" t="s">
        <v>72</v>
      </c>
      <c r="L9" s="14">
        <v>1</v>
      </c>
      <c r="P9" s="14">
        <v>1</v>
      </c>
      <c r="Q9" t="s">
        <v>503</v>
      </c>
      <c r="R9" t="s">
        <v>1</v>
      </c>
      <c r="S9" t="str">
        <f t="shared" si="0"/>
        <v>No mol</v>
      </c>
      <c r="T9" t="s">
        <v>1</v>
      </c>
      <c r="U9" t="s">
        <v>588</v>
      </c>
    </row>
    <row r="10" spans="1:21" x14ac:dyDescent="0.25">
      <c r="A10" t="s">
        <v>5</v>
      </c>
      <c r="B10" s="14" t="s">
        <v>75</v>
      </c>
      <c r="C10" s="14" t="s">
        <v>1</v>
      </c>
      <c r="D10" t="s">
        <v>584</v>
      </c>
      <c r="G10" t="s">
        <v>73</v>
      </c>
      <c r="L10" s="14">
        <v>1</v>
      </c>
      <c r="P10" s="14">
        <v>1</v>
      </c>
      <c r="Q10" t="s">
        <v>503</v>
      </c>
      <c r="R10" t="s">
        <v>1</v>
      </c>
      <c r="S10" t="str">
        <f t="shared" ref="S10:S20" si="1">IF(Q10=R10,"Yes",IF(Q10="NA","No mol","No"))</f>
        <v>No mol</v>
      </c>
      <c r="T10" t="s">
        <v>1</v>
      </c>
    </row>
    <row r="11" spans="1:21" x14ac:dyDescent="0.25">
      <c r="A11" t="s">
        <v>5</v>
      </c>
      <c r="B11" s="14" t="s">
        <v>76</v>
      </c>
      <c r="C11" s="14" t="s">
        <v>1</v>
      </c>
      <c r="D11" t="s">
        <v>584</v>
      </c>
      <c r="G11" t="s">
        <v>74</v>
      </c>
      <c r="K11" s="14">
        <v>1</v>
      </c>
      <c r="P11" s="14">
        <v>1</v>
      </c>
      <c r="Q11" t="s">
        <v>503</v>
      </c>
      <c r="R11" t="s">
        <v>0</v>
      </c>
      <c r="S11" t="str">
        <f t="shared" si="1"/>
        <v>No mol</v>
      </c>
      <c r="T11" t="s">
        <v>0</v>
      </c>
      <c r="U11" t="s">
        <v>588</v>
      </c>
    </row>
    <row r="12" spans="1:21" x14ac:dyDescent="0.25">
      <c r="A12" t="s">
        <v>5</v>
      </c>
      <c r="B12" s="14" t="s">
        <v>8</v>
      </c>
      <c r="C12" s="14" t="s">
        <v>1</v>
      </c>
      <c r="D12" t="s">
        <v>584</v>
      </c>
      <c r="G12" t="s">
        <v>75</v>
      </c>
      <c r="L12" s="14">
        <v>1</v>
      </c>
      <c r="P12" s="14">
        <v>1</v>
      </c>
      <c r="Q12" t="s">
        <v>503</v>
      </c>
      <c r="R12" t="s">
        <v>1</v>
      </c>
      <c r="S12" t="str">
        <f t="shared" si="1"/>
        <v>No mol</v>
      </c>
      <c r="T12" t="s">
        <v>1</v>
      </c>
    </row>
    <row r="13" spans="1:21" x14ac:dyDescent="0.25">
      <c r="A13" t="s">
        <v>5</v>
      </c>
      <c r="B13" s="14" t="s">
        <v>9</v>
      </c>
      <c r="C13" s="14" t="s">
        <v>1</v>
      </c>
      <c r="D13" t="s">
        <v>584</v>
      </c>
      <c r="G13" t="s">
        <v>76</v>
      </c>
      <c r="L13" s="14">
        <v>1</v>
      </c>
      <c r="P13" s="14">
        <v>1</v>
      </c>
      <c r="Q13" t="s">
        <v>503</v>
      </c>
      <c r="R13" t="s">
        <v>1</v>
      </c>
      <c r="S13" t="str">
        <f t="shared" si="1"/>
        <v>No mol</v>
      </c>
      <c r="T13" t="s">
        <v>1</v>
      </c>
    </row>
    <row r="14" spans="1:21" x14ac:dyDescent="0.25">
      <c r="A14" t="s">
        <v>5</v>
      </c>
      <c r="B14" s="14" t="s">
        <v>10</v>
      </c>
      <c r="C14" s="14" t="s">
        <v>0</v>
      </c>
      <c r="D14" t="s">
        <v>584</v>
      </c>
      <c r="G14" t="s">
        <v>8</v>
      </c>
      <c r="I14" s="14">
        <v>1</v>
      </c>
      <c r="L14" s="14">
        <v>1</v>
      </c>
      <c r="P14" s="14">
        <v>2</v>
      </c>
      <c r="Q14" t="s">
        <v>1</v>
      </c>
      <c r="R14" t="s">
        <v>1</v>
      </c>
      <c r="S14" t="str">
        <f t="shared" si="1"/>
        <v>Yes</v>
      </c>
      <c r="T14" t="s">
        <v>1</v>
      </c>
    </row>
    <row r="15" spans="1:21" x14ac:dyDescent="0.25">
      <c r="A15" t="s">
        <v>5</v>
      </c>
      <c r="B15" s="14" t="s">
        <v>77</v>
      </c>
      <c r="C15" s="14" t="s">
        <v>1</v>
      </c>
      <c r="D15" t="s">
        <v>584</v>
      </c>
      <c r="G15" t="s">
        <v>9</v>
      </c>
      <c r="I15" s="14">
        <v>1</v>
      </c>
      <c r="L15" s="14">
        <v>1</v>
      </c>
      <c r="P15" s="14">
        <v>2</v>
      </c>
      <c r="Q15" t="s">
        <v>1</v>
      </c>
      <c r="R15" t="s">
        <v>1</v>
      </c>
      <c r="S15" t="str">
        <f t="shared" si="1"/>
        <v>Yes</v>
      </c>
      <c r="T15" t="s">
        <v>1</v>
      </c>
    </row>
    <row r="16" spans="1:21" x14ac:dyDescent="0.25">
      <c r="A16" t="s">
        <v>5</v>
      </c>
      <c r="B16" s="14" t="s">
        <v>11</v>
      </c>
      <c r="C16" s="14" t="s">
        <v>1</v>
      </c>
      <c r="D16" t="s">
        <v>584</v>
      </c>
      <c r="G16" t="s">
        <v>10</v>
      </c>
      <c r="H16" s="14">
        <v>1</v>
      </c>
      <c r="K16" s="14">
        <v>1</v>
      </c>
      <c r="P16" s="14">
        <v>2</v>
      </c>
      <c r="Q16" t="s">
        <v>0</v>
      </c>
      <c r="R16" t="s">
        <v>0</v>
      </c>
      <c r="S16" t="str">
        <f t="shared" si="1"/>
        <v>Yes</v>
      </c>
      <c r="T16" t="s">
        <v>0</v>
      </c>
    </row>
    <row r="17" spans="1:21" x14ac:dyDescent="0.25">
      <c r="A17" t="s">
        <v>5</v>
      </c>
      <c r="B17" s="14" t="s">
        <v>78</v>
      </c>
      <c r="C17" s="14" t="s">
        <v>1</v>
      </c>
      <c r="D17" t="s">
        <v>584</v>
      </c>
      <c r="G17" t="s">
        <v>77</v>
      </c>
      <c r="L17" s="14">
        <v>1</v>
      </c>
      <c r="P17" s="14">
        <v>1</v>
      </c>
      <c r="Q17" t="s">
        <v>503</v>
      </c>
      <c r="R17" t="s">
        <v>1</v>
      </c>
      <c r="S17" t="str">
        <f t="shared" si="1"/>
        <v>No mol</v>
      </c>
      <c r="T17" t="s">
        <v>1</v>
      </c>
    </row>
    <row r="18" spans="1:21" x14ac:dyDescent="0.25">
      <c r="A18" t="s">
        <v>5</v>
      </c>
      <c r="B18" s="14" t="s">
        <v>79</v>
      </c>
      <c r="C18" s="14" t="s">
        <v>1</v>
      </c>
      <c r="D18" t="s">
        <v>584</v>
      </c>
      <c r="G18" t="s">
        <v>11</v>
      </c>
      <c r="I18" s="14">
        <v>1</v>
      </c>
      <c r="L18" s="14">
        <v>1</v>
      </c>
      <c r="P18" s="14">
        <v>2</v>
      </c>
      <c r="Q18" t="s">
        <v>1</v>
      </c>
      <c r="R18" t="s">
        <v>1</v>
      </c>
      <c r="S18" t="str">
        <f t="shared" si="1"/>
        <v>Yes</v>
      </c>
      <c r="T18" t="s">
        <v>1</v>
      </c>
    </row>
    <row r="19" spans="1:21" x14ac:dyDescent="0.25">
      <c r="A19" t="s">
        <v>5</v>
      </c>
      <c r="B19" s="14" t="s">
        <v>580</v>
      </c>
      <c r="C19" s="14" t="s">
        <v>503</v>
      </c>
      <c r="D19" t="s">
        <v>584</v>
      </c>
      <c r="G19" t="s">
        <v>78</v>
      </c>
      <c r="L19" s="14">
        <v>1</v>
      </c>
      <c r="P19" s="14">
        <v>1</v>
      </c>
      <c r="Q19" t="s">
        <v>503</v>
      </c>
      <c r="R19" t="s">
        <v>1</v>
      </c>
      <c r="S19" t="str">
        <f t="shared" si="1"/>
        <v>No mol</v>
      </c>
      <c r="T19" t="s">
        <v>1</v>
      </c>
    </row>
    <row r="20" spans="1:21" x14ac:dyDescent="0.25">
      <c r="A20" t="s">
        <v>5</v>
      </c>
      <c r="B20" s="14" t="s">
        <v>12</v>
      </c>
      <c r="C20" s="14" t="s">
        <v>0</v>
      </c>
      <c r="D20" t="s">
        <v>584</v>
      </c>
      <c r="G20" t="s">
        <v>79</v>
      </c>
      <c r="L20" s="14">
        <v>1</v>
      </c>
      <c r="P20" s="14">
        <v>1</v>
      </c>
      <c r="Q20" t="s">
        <v>503</v>
      </c>
      <c r="R20" t="s">
        <v>1</v>
      </c>
      <c r="S20" t="str">
        <f t="shared" si="1"/>
        <v>No mol</v>
      </c>
      <c r="T20" t="s">
        <v>1</v>
      </c>
    </row>
    <row r="21" spans="1:21" x14ac:dyDescent="0.25">
      <c r="A21" t="s">
        <v>5</v>
      </c>
      <c r="B21" s="14" t="s">
        <v>13</v>
      </c>
      <c r="C21" s="14" t="s">
        <v>1</v>
      </c>
      <c r="D21" t="s">
        <v>584</v>
      </c>
      <c r="G21" t="s">
        <v>580</v>
      </c>
      <c r="M21" s="14">
        <v>1</v>
      </c>
      <c r="P21" s="14">
        <v>1</v>
      </c>
      <c r="Q21" t="s">
        <v>503</v>
      </c>
      <c r="R21" t="s">
        <v>503</v>
      </c>
      <c r="S21" t="s">
        <v>589</v>
      </c>
      <c r="T21" s="42" t="s">
        <v>0</v>
      </c>
      <c r="U21" t="s">
        <v>590</v>
      </c>
    </row>
    <row r="22" spans="1:21" x14ac:dyDescent="0.25">
      <c r="A22" t="s">
        <v>5</v>
      </c>
      <c r="B22" s="14" t="s">
        <v>14</v>
      </c>
      <c r="C22" s="14" t="s">
        <v>0</v>
      </c>
      <c r="D22" t="s">
        <v>584</v>
      </c>
      <c r="G22" t="s">
        <v>12</v>
      </c>
      <c r="H22" s="14">
        <v>1</v>
      </c>
      <c r="K22" s="14">
        <v>1</v>
      </c>
      <c r="P22" s="14">
        <v>2</v>
      </c>
      <c r="Q22" t="s">
        <v>0</v>
      </c>
      <c r="R22" t="s">
        <v>0</v>
      </c>
      <c r="S22" t="str">
        <f t="shared" ref="S22:S34" si="2">IF(Q22=R22,"Yes",IF(Q22="NA","No mol","No"))</f>
        <v>Yes</v>
      </c>
      <c r="T22" t="s">
        <v>0</v>
      </c>
    </row>
    <row r="23" spans="1:21" x14ac:dyDescent="0.25">
      <c r="A23" t="s">
        <v>5</v>
      </c>
      <c r="B23" s="14" t="s">
        <v>15</v>
      </c>
      <c r="C23" s="14" t="s">
        <v>0</v>
      </c>
      <c r="D23" t="s">
        <v>584</v>
      </c>
      <c r="G23" t="s">
        <v>13</v>
      </c>
      <c r="I23" s="14">
        <v>1</v>
      </c>
      <c r="L23" s="14">
        <v>1</v>
      </c>
      <c r="P23" s="14">
        <v>2</v>
      </c>
      <c r="Q23" t="s">
        <v>1</v>
      </c>
      <c r="R23" t="s">
        <v>1</v>
      </c>
      <c r="S23" t="str">
        <f t="shared" si="2"/>
        <v>Yes</v>
      </c>
      <c r="T23" t="s">
        <v>1</v>
      </c>
    </row>
    <row r="24" spans="1:21" x14ac:dyDescent="0.25">
      <c r="A24" t="s">
        <v>5</v>
      </c>
      <c r="B24" s="14" t="s">
        <v>80</v>
      </c>
      <c r="C24" s="14" t="s">
        <v>1</v>
      </c>
      <c r="D24" t="s">
        <v>584</v>
      </c>
      <c r="G24" t="s">
        <v>14</v>
      </c>
      <c r="H24" s="14">
        <v>1</v>
      </c>
      <c r="K24" s="14">
        <v>1</v>
      </c>
      <c r="P24" s="14">
        <v>2</v>
      </c>
      <c r="Q24" t="s">
        <v>0</v>
      </c>
      <c r="R24" t="s">
        <v>0</v>
      </c>
      <c r="S24" t="str">
        <f t="shared" si="2"/>
        <v>Yes</v>
      </c>
      <c r="T24" t="s">
        <v>0</v>
      </c>
    </row>
    <row r="25" spans="1:21" x14ac:dyDescent="0.25">
      <c r="A25" t="s">
        <v>5</v>
      </c>
      <c r="B25" s="14" t="s">
        <v>16</v>
      </c>
      <c r="C25" s="14" t="s">
        <v>1</v>
      </c>
      <c r="D25" t="s">
        <v>584</v>
      </c>
      <c r="G25" t="s">
        <v>15</v>
      </c>
      <c r="H25" s="14">
        <v>1</v>
      </c>
      <c r="K25" s="14">
        <v>1</v>
      </c>
      <c r="P25" s="14">
        <v>2</v>
      </c>
      <c r="Q25" t="s">
        <v>0</v>
      </c>
      <c r="R25" t="s">
        <v>0</v>
      </c>
      <c r="S25" t="str">
        <f t="shared" si="2"/>
        <v>Yes</v>
      </c>
      <c r="T25" t="s">
        <v>0</v>
      </c>
    </row>
    <row r="26" spans="1:21" x14ac:dyDescent="0.25">
      <c r="A26" t="s">
        <v>5</v>
      </c>
      <c r="B26" s="14" t="s">
        <v>17</v>
      </c>
      <c r="C26" s="14" t="s">
        <v>0</v>
      </c>
      <c r="D26" t="s">
        <v>584</v>
      </c>
      <c r="G26" t="s">
        <v>80</v>
      </c>
      <c r="L26" s="14">
        <v>1</v>
      </c>
      <c r="P26" s="14">
        <v>1</v>
      </c>
      <c r="Q26" t="s">
        <v>503</v>
      </c>
      <c r="R26" t="s">
        <v>1</v>
      </c>
      <c r="S26" t="str">
        <f t="shared" si="2"/>
        <v>No mol</v>
      </c>
      <c r="T26" t="s">
        <v>1</v>
      </c>
    </row>
    <row r="27" spans="1:21" x14ac:dyDescent="0.25">
      <c r="A27" t="s">
        <v>5</v>
      </c>
      <c r="B27" s="14" t="s">
        <v>18</v>
      </c>
      <c r="C27" s="14" t="s">
        <v>0</v>
      </c>
      <c r="D27" t="s">
        <v>584</v>
      </c>
      <c r="G27" t="s">
        <v>16</v>
      </c>
      <c r="I27" s="14">
        <v>1</v>
      </c>
      <c r="L27" s="14">
        <v>1</v>
      </c>
      <c r="P27" s="14">
        <v>2</v>
      </c>
      <c r="Q27" t="s">
        <v>1</v>
      </c>
      <c r="R27" t="s">
        <v>1</v>
      </c>
      <c r="S27" t="str">
        <f t="shared" si="2"/>
        <v>Yes</v>
      </c>
      <c r="T27" t="s">
        <v>1</v>
      </c>
    </row>
    <row r="28" spans="1:21" x14ac:dyDescent="0.25">
      <c r="A28" t="s">
        <v>5</v>
      </c>
      <c r="B28" s="14" t="s">
        <v>19</v>
      </c>
      <c r="C28" s="14" t="s">
        <v>1</v>
      </c>
      <c r="D28" t="s">
        <v>584</v>
      </c>
      <c r="G28" t="s">
        <v>17</v>
      </c>
      <c r="H28" s="14">
        <v>1</v>
      </c>
      <c r="K28" s="14">
        <v>1</v>
      </c>
      <c r="P28" s="14">
        <v>2</v>
      </c>
      <c r="Q28" t="s">
        <v>0</v>
      </c>
      <c r="R28" t="s">
        <v>0</v>
      </c>
      <c r="S28" t="str">
        <f t="shared" si="2"/>
        <v>Yes</v>
      </c>
      <c r="T28" t="s">
        <v>0</v>
      </c>
    </row>
    <row r="29" spans="1:21" x14ac:dyDescent="0.25">
      <c r="A29" t="s">
        <v>5</v>
      </c>
      <c r="B29" s="14" t="s">
        <v>81</v>
      </c>
      <c r="C29" s="14" t="s">
        <v>1</v>
      </c>
      <c r="D29" t="s">
        <v>584</v>
      </c>
      <c r="G29" t="s">
        <v>18</v>
      </c>
      <c r="H29" s="14">
        <v>1</v>
      </c>
      <c r="K29" s="14">
        <v>1</v>
      </c>
      <c r="P29" s="14">
        <v>2</v>
      </c>
      <c r="Q29" t="s">
        <v>0</v>
      </c>
      <c r="R29" t="s">
        <v>0</v>
      </c>
      <c r="S29" t="str">
        <f t="shared" si="2"/>
        <v>Yes</v>
      </c>
      <c r="T29" t="s">
        <v>0</v>
      </c>
    </row>
    <row r="30" spans="1:21" x14ac:dyDescent="0.25">
      <c r="A30" t="s">
        <v>5</v>
      </c>
      <c r="B30" s="14" t="s">
        <v>20</v>
      </c>
      <c r="C30" s="14" t="s">
        <v>0</v>
      </c>
      <c r="D30" t="s">
        <v>584</v>
      </c>
      <c r="G30" t="s">
        <v>19</v>
      </c>
      <c r="I30" s="14">
        <v>1</v>
      </c>
      <c r="L30" s="14">
        <v>1</v>
      </c>
      <c r="P30" s="14">
        <v>2</v>
      </c>
      <c r="Q30" t="s">
        <v>1</v>
      </c>
      <c r="R30" t="s">
        <v>1</v>
      </c>
      <c r="S30" t="str">
        <f t="shared" si="2"/>
        <v>Yes</v>
      </c>
      <c r="T30" t="s">
        <v>1</v>
      </c>
    </row>
    <row r="31" spans="1:21" x14ac:dyDescent="0.25">
      <c r="A31" t="s">
        <v>5</v>
      </c>
      <c r="B31" s="14" t="s">
        <v>21</v>
      </c>
      <c r="C31" s="14" t="s">
        <v>1</v>
      </c>
      <c r="D31" t="s">
        <v>584</v>
      </c>
      <c r="G31" t="s">
        <v>81</v>
      </c>
      <c r="L31" s="14">
        <v>1</v>
      </c>
      <c r="P31" s="14">
        <v>1</v>
      </c>
      <c r="Q31" t="s">
        <v>503</v>
      </c>
      <c r="R31" t="s">
        <v>1</v>
      </c>
      <c r="S31" t="str">
        <f t="shared" si="2"/>
        <v>No mol</v>
      </c>
      <c r="T31" t="s">
        <v>1</v>
      </c>
    </row>
    <row r="32" spans="1:21" x14ac:dyDescent="0.25">
      <c r="A32" t="s">
        <v>5</v>
      </c>
      <c r="B32" s="14" t="s">
        <v>22</v>
      </c>
      <c r="C32" s="14" t="s">
        <v>0</v>
      </c>
      <c r="D32" t="s">
        <v>584</v>
      </c>
      <c r="G32" t="s">
        <v>20</v>
      </c>
      <c r="H32" s="14">
        <v>1</v>
      </c>
      <c r="K32" s="14">
        <v>1</v>
      </c>
      <c r="P32" s="14">
        <v>2</v>
      </c>
      <c r="Q32" t="s">
        <v>0</v>
      </c>
      <c r="R32" t="s">
        <v>0</v>
      </c>
      <c r="S32" t="str">
        <f t="shared" si="2"/>
        <v>Yes</v>
      </c>
      <c r="T32" t="s">
        <v>0</v>
      </c>
    </row>
    <row r="33" spans="1:21" x14ac:dyDescent="0.25">
      <c r="A33" t="s">
        <v>5</v>
      </c>
      <c r="B33" s="14" t="s">
        <v>23</v>
      </c>
      <c r="C33" s="14" t="s">
        <v>2</v>
      </c>
      <c r="D33" t="s">
        <v>584</v>
      </c>
      <c r="G33" t="s">
        <v>21</v>
      </c>
      <c r="I33" s="14">
        <v>1</v>
      </c>
      <c r="L33" s="14">
        <v>1</v>
      </c>
      <c r="P33" s="14">
        <v>2</v>
      </c>
      <c r="Q33" t="s">
        <v>1</v>
      </c>
      <c r="R33" t="s">
        <v>1</v>
      </c>
      <c r="S33" t="str">
        <f t="shared" si="2"/>
        <v>Yes</v>
      </c>
      <c r="T33" t="s">
        <v>1</v>
      </c>
    </row>
    <row r="34" spans="1:21" x14ac:dyDescent="0.25">
      <c r="A34" t="s">
        <v>5</v>
      </c>
      <c r="B34" s="14" t="s">
        <v>82</v>
      </c>
      <c r="C34" s="14" t="s">
        <v>0</v>
      </c>
      <c r="D34" t="s">
        <v>584</v>
      </c>
      <c r="G34" t="s">
        <v>22</v>
      </c>
      <c r="H34" s="14">
        <v>1</v>
      </c>
      <c r="K34" s="14">
        <v>1</v>
      </c>
      <c r="P34" s="14">
        <v>2</v>
      </c>
      <c r="Q34" t="s">
        <v>0</v>
      </c>
      <c r="R34" t="s">
        <v>0</v>
      </c>
      <c r="S34" t="str">
        <f t="shared" si="2"/>
        <v>Yes</v>
      </c>
      <c r="T34" t="s">
        <v>0</v>
      </c>
    </row>
    <row r="35" spans="1:21" x14ac:dyDescent="0.25">
      <c r="A35" t="s">
        <v>5</v>
      </c>
      <c r="B35" s="14" t="s">
        <v>24</v>
      </c>
      <c r="C35" s="14" t="s">
        <v>0</v>
      </c>
      <c r="D35" t="s">
        <v>584</v>
      </c>
      <c r="G35" t="s">
        <v>23</v>
      </c>
      <c r="H35" s="14">
        <v>1</v>
      </c>
      <c r="O35" s="14">
        <v>1</v>
      </c>
      <c r="P35" s="14">
        <v>2</v>
      </c>
      <c r="Q35" t="s">
        <v>0</v>
      </c>
      <c r="R35" t="s">
        <v>591</v>
      </c>
      <c r="S35" t="s">
        <v>592</v>
      </c>
      <c r="T35" t="s">
        <v>0</v>
      </c>
    </row>
    <row r="36" spans="1:21" x14ac:dyDescent="0.25">
      <c r="A36" t="s">
        <v>5</v>
      </c>
      <c r="B36" s="14" t="s">
        <v>25</v>
      </c>
      <c r="C36" s="14" t="s">
        <v>0</v>
      </c>
      <c r="D36" t="s">
        <v>584</v>
      </c>
      <c r="G36" t="s">
        <v>82</v>
      </c>
      <c r="K36" s="14">
        <v>1</v>
      </c>
      <c r="P36" s="14">
        <v>1</v>
      </c>
      <c r="Q36" t="s">
        <v>503</v>
      </c>
      <c r="R36" t="s">
        <v>0</v>
      </c>
      <c r="S36" t="str">
        <f t="shared" ref="S36:S58" si="3">IF(Q36=R36,"Yes",IF(Q36="NA","No mol","No"))</f>
        <v>No mol</v>
      </c>
      <c r="T36" t="s">
        <v>0</v>
      </c>
      <c r="U36" t="s">
        <v>588</v>
      </c>
    </row>
    <row r="37" spans="1:21" x14ac:dyDescent="0.25">
      <c r="A37" t="s">
        <v>5</v>
      </c>
      <c r="B37" s="14" t="s">
        <v>26</v>
      </c>
      <c r="C37" s="14" t="s">
        <v>0</v>
      </c>
      <c r="D37" t="s">
        <v>584</v>
      </c>
      <c r="G37" t="s">
        <v>24</v>
      </c>
      <c r="H37" s="14">
        <v>1</v>
      </c>
      <c r="K37" s="14">
        <v>1</v>
      </c>
      <c r="P37" s="14">
        <v>2</v>
      </c>
      <c r="Q37" t="s">
        <v>0</v>
      </c>
      <c r="R37" t="s">
        <v>0</v>
      </c>
      <c r="S37" t="str">
        <f t="shared" si="3"/>
        <v>Yes</v>
      </c>
      <c r="T37" t="s">
        <v>0</v>
      </c>
    </row>
    <row r="38" spans="1:21" x14ac:dyDescent="0.25">
      <c r="A38" t="s">
        <v>5</v>
      </c>
      <c r="B38" s="14" t="s">
        <v>83</v>
      </c>
      <c r="C38" s="14" t="s">
        <v>0</v>
      </c>
      <c r="D38" t="s">
        <v>584</v>
      </c>
      <c r="G38" t="s">
        <v>25</v>
      </c>
      <c r="H38" s="14">
        <v>1</v>
      </c>
      <c r="K38" s="14">
        <v>1</v>
      </c>
      <c r="P38" s="14">
        <v>2</v>
      </c>
      <c r="Q38" t="s">
        <v>0</v>
      </c>
      <c r="R38" t="s">
        <v>0</v>
      </c>
      <c r="S38" t="str">
        <f t="shared" si="3"/>
        <v>Yes</v>
      </c>
      <c r="T38" t="s">
        <v>0</v>
      </c>
    </row>
    <row r="39" spans="1:21" x14ac:dyDescent="0.25">
      <c r="A39" t="s">
        <v>5</v>
      </c>
      <c r="B39" s="14" t="s">
        <v>27</v>
      </c>
      <c r="C39" s="14" t="s">
        <v>0</v>
      </c>
      <c r="D39" t="s">
        <v>584</v>
      </c>
      <c r="G39" t="s">
        <v>26</v>
      </c>
      <c r="H39" s="14">
        <v>1</v>
      </c>
      <c r="K39" s="14">
        <v>1</v>
      </c>
      <c r="P39" s="14">
        <v>2</v>
      </c>
      <c r="Q39" t="s">
        <v>0</v>
      </c>
      <c r="R39" t="s">
        <v>0</v>
      </c>
      <c r="S39" t="str">
        <f t="shared" si="3"/>
        <v>Yes</v>
      </c>
      <c r="T39" t="s">
        <v>0</v>
      </c>
    </row>
    <row r="40" spans="1:21" x14ac:dyDescent="0.25">
      <c r="A40" t="s">
        <v>5</v>
      </c>
      <c r="B40" s="14" t="s">
        <v>84</v>
      </c>
      <c r="C40" s="14" t="s">
        <v>1</v>
      </c>
      <c r="D40" t="s">
        <v>584</v>
      </c>
      <c r="G40" t="s">
        <v>83</v>
      </c>
      <c r="K40" s="14">
        <v>1</v>
      </c>
      <c r="P40" s="14">
        <v>1</v>
      </c>
      <c r="Q40" t="s">
        <v>503</v>
      </c>
      <c r="R40" t="s">
        <v>0</v>
      </c>
      <c r="S40" t="str">
        <f t="shared" si="3"/>
        <v>No mol</v>
      </c>
      <c r="T40" t="s">
        <v>0</v>
      </c>
    </row>
    <row r="41" spans="1:21" x14ac:dyDescent="0.25">
      <c r="A41" t="s">
        <v>5</v>
      </c>
      <c r="B41" s="14" t="s">
        <v>28</v>
      </c>
      <c r="C41" s="14" t="s">
        <v>0</v>
      </c>
      <c r="D41" t="s">
        <v>584</v>
      </c>
      <c r="G41" t="s">
        <v>27</v>
      </c>
      <c r="H41" s="14">
        <v>1</v>
      </c>
      <c r="K41" s="14">
        <v>1</v>
      </c>
      <c r="P41" s="14">
        <v>2</v>
      </c>
      <c r="Q41" t="s">
        <v>0</v>
      </c>
      <c r="R41" t="s">
        <v>0</v>
      </c>
      <c r="S41" t="str">
        <f t="shared" si="3"/>
        <v>Yes</v>
      </c>
      <c r="T41" t="s">
        <v>0</v>
      </c>
    </row>
    <row r="42" spans="1:21" x14ac:dyDescent="0.25">
      <c r="A42" t="s">
        <v>5</v>
      </c>
      <c r="B42" s="14" t="s">
        <v>85</v>
      </c>
      <c r="C42" s="14" t="s">
        <v>1</v>
      </c>
      <c r="D42" t="s">
        <v>584</v>
      </c>
      <c r="G42" t="s">
        <v>84</v>
      </c>
      <c r="L42" s="14">
        <v>1</v>
      </c>
      <c r="P42" s="14">
        <v>1</v>
      </c>
      <c r="Q42" t="s">
        <v>503</v>
      </c>
      <c r="R42" t="s">
        <v>1</v>
      </c>
      <c r="S42" t="str">
        <f t="shared" si="3"/>
        <v>No mol</v>
      </c>
      <c r="T42" t="s">
        <v>1</v>
      </c>
    </row>
    <row r="43" spans="1:21" x14ac:dyDescent="0.25">
      <c r="A43" t="s">
        <v>5</v>
      </c>
      <c r="B43" s="14" t="s">
        <v>86</v>
      </c>
      <c r="C43" s="14" t="s">
        <v>1</v>
      </c>
      <c r="D43" t="s">
        <v>584</v>
      </c>
      <c r="G43" t="s">
        <v>28</v>
      </c>
      <c r="H43" s="14">
        <v>1</v>
      </c>
      <c r="K43" s="14">
        <v>1</v>
      </c>
      <c r="P43" s="14">
        <v>2</v>
      </c>
      <c r="Q43" t="s">
        <v>0</v>
      </c>
      <c r="R43" t="s">
        <v>0</v>
      </c>
      <c r="S43" t="str">
        <f t="shared" si="3"/>
        <v>Yes</v>
      </c>
      <c r="T43" t="s">
        <v>0</v>
      </c>
    </row>
    <row r="44" spans="1:21" x14ac:dyDescent="0.25">
      <c r="A44" t="s">
        <v>5</v>
      </c>
      <c r="B44" s="14" t="s">
        <v>29</v>
      </c>
      <c r="C44" s="14" t="s">
        <v>0</v>
      </c>
      <c r="D44" t="s">
        <v>584</v>
      </c>
      <c r="G44" t="s">
        <v>85</v>
      </c>
      <c r="L44" s="14">
        <v>1</v>
      </c>
      <c r="P44" s="14">
        <v>1</v>
      </c>
      <c r="Q44" t="s">
        <v>503</v>
      </c>
      <c r="R44" t="s">
        <v>1</v>
      </c>
      <c r="S44" t="str">
        <f t="shared" si="3"/>
        <v>No mol</v>
      </c>
      <c r="T44" t="s">
        <v>1</v>
      </c>
    </row>
    <row r="45" spans="1:21" x14ac:dyDescent="0.25">
      <c r="A45" t="s">
        <v>5</v>
      </c>
      <c r="B45" s="14" t="s">
        <v>87</v>
      </c>
      <c r="C45" s="14" t="s">
        <v>0</v>
      </c>
      <c r="D45" t="s">
        <v>584</v>
      </c>
      <c r="G45" t="s">
        <v>86</v>
      </c>
      <c r="L45" s="14">
        <v>1</v>
      </c>
      <c r="P45" s="14">
        <v>1</v>
      </c>
      <c r="Q45" t="s">
        <v>503</v>
      </c>
      <c r="R45" t="s">
        <v>1</v>
      </c>
      <c r="S45" t="str">
        <f t="shared" si="3"/>
        <v>No mol</v>
      </c>
      <c r="T45" t="s">
        <v>1</v>
      </c>
    </row>
    <row r="46" spans="1:21" x14ac:dyDescent="0.25">
      <c r="A46" t="s">
        <v>5</v>
      </c>
      <c r="B46" s="14" t="s">
        <v>30</v>
      </c>
      <c r="C46" s="14" t="s">
        <v>0</v>
      </c>
      <c r="D46" t="s">
        <v>584</v>
      </c>
      <c r="G46" t="s">
        <v>29</v>
      </c>
      <c r="H46" s="14">
        <v>1</v>
      </c>
      <c r="K46" s="14">
        <v>1</v>
      </c>
      <c r="P46" s="14">
        <v>2</v>
      </c>
      <c r="Q46" t="s">
        <v>0</v>
      </c>
      <c r="R46" t="s">
        <v>0</v>
      </c>
      <c r="S46" t="str">
        <f t="shared" si="3"/>
        <v>Yes</v>
      </c>
      <c r="T46" t="s">
        <v>0</v>
      </c>
    </row>
    <row r="47" spans="1:21" x14ac:dyDescent="0.25">
      <c r="A47" t="s">
        <v>5</v>
      </c>
      <c r="B47" s="14" t="s">
        <v>31</v>
      </c>
      <c r="C47" s="14" t="s">
        <v>0</v>
      </c>
      <c r="D47" t="s">
        <v>584</v>
      </c>
      <c r="G47" t="s">
        <v>87</v>
      </c>
      <c r="K47" s="14">
        <v>1</v>
      </c>
      <c r="P47" s="14">
        <v>1</v>
      </c>
      <c r="Q47" t="s">
        <v>503</v>
      </c>
      <c r="R47" t="s">
        <v>0</v>
      </c>
      <c r="S47" t="str">
        <f t="shared" si="3"/>
        <v>No mol</v>
      </c>
      <c r="T47" t="s">
        <v>0</v>
      </c>
    </row>
    <row r="48" spans="1:21" x14ac:dyDescent="0.25">
      <c r="A48" t="s">
        <v>5</v>
      </c>
      <c r="B48" s="14" t="s">
        <v>88</v>
      </c>
      <c r="C48" s="14" t="s">
        <v>1</v>
      </c>
      <c r="D48" t="s">
        <v>584</v>
      </c>
      <c r="G48" t="s">
        <v>30</v>
      </c>
      <c r="H48" s="14">
        <v>1</v>
      </c>
      <c r="K48" s="14">
        <v>1</v>
      </c>
      <c r="P48" s="14">
        <v>2</v>
      </c>
      <c r="Q48" t="s">
        <v>0</v>
      </c>
      <c r="R48" t="s">
        <v>0</v>
      </c>
      <c r="S48" t="str">
        <f t="shared" si="3"/>
        <v>Yes</v>
      </c>
      <c r="T48" t="s">
        <v>0</v>
      </c>
    </row>
    <row r="49" spans="1:21" x14ac:dyDescent="0.25">
      <c r="A49" t="s">
        <v>5</v>
      </c>
      <c r="B49" s="14" t="s">
        <v>89</v>
      </c>
      <c r="C49" s="14" t="s">
        <v>2</v>
      </c>
      <c r="D49" t="s">
        <v>584</v>
      </c>
      <c r="G49" t="s">
        <v>31</v>
      </c>
      <c r="H49" s="14">
        <v>1</v>
      </c>
      <c r="K49" s="14">
        <v>1</v>
      </c>
      <c r="P49" s="14">
        <v>2</v>
      </c>
      <c r="Q49" t="s">
        <v>0</v>
      </c>
      <c r="R49" t="s">
        <v>0</v>
      </c>
      <c r="S49" t="str">
        <f t="shared" si="3"/>
        <v>Yes</v>
      </c>
      <c r="T49" t="s">
        <v>0</v>
      </c>
    </row>
    <row r="50" spans="1:21" x14ac:dyDescent="0.25">
      <c r="A50" t="s">
        <v>5</v>
      </c>
      <c r="B50" s="14" t="s">
        <v>32</v>
      </c>
      <c r="C50" s="14" t="s">
        <v>0</v>
      </c>
      <c r="D50" t="s">
        <v>584</v>
      </c>
      <c r="G50" t="s">
        <v>88</v>
      </c>
      <c r="L50" s="14">
        <v>1</v>
      </c>
      <c r="P50" s="14">
        <v>1</v>
      </c>
      <c r="Q50" t="s">
        <v>503</v>
      </c>
      <c r="R50" t="s">
        <v>1</v>
      </c>
      <c r="S50" t="str">
        <f t="shared" si="3"/>
        <v>No mol</v>
      </c>
      <c r="T50" t="s">
        <v>1</v>
      </c>
    </row>
    <row r="51" spans="1:21" x14ac:dyDescent="0.25">
      <c r="A51" t="s">
        <v>5</v>
      </c>
      <c r="B51" s="14" t="s">
        <v>33</v>
      </c>
      <c r="C51" s="14" t="s">
        <v>1</v>
      </c>
      <c r="D51" t="s">
        <v>584</v>
      </c>
      <c r="G51" t="s">
        <v>89</v>
      </c>
      <c r="O51" s="14">
        <v>1</v>
      </c>
      <c r="P51" s="14">
        <v>1</v>
      </c>
      <c r="Q51" t="s">
        <v>503</v>
      </c>
      <c r="R51" t="s">
        <v>591</v>
      </c>
      <c r="S51" t="str">
        <f t="shared" si="3"/>
        <v>No mol</v>
      </c>
      <c r="T51" t="s">
        <v>0</v>
      </c>
    </row>
    <row r="52" spans="1:21" x14ac:dyDescent="0.25">
      <c r="A52" t="s">
        <v>5</v>
      </c>
      <c r="B52" s="14" t="s">
        <v>34</v>
      </c>
      <c r="C52" s="14" t="s">
        <v>0</v>
      </c>
      <c r="D52" t="s">
        <v>584</v>
      </c>
      <c r="G52" t="s">
        <v>32</v>
      </c>
      <c r="H52" s="14">
        <v>1</v>
      </c>
      <c r="K52" s="14">
        <v>1</v>
      </c>
      <c r="P52" s="14">
        <v>2</v>
      </c>
      <c r="Q52" t="s">
        <v>0</v>
      </c>
      <c r="R52" t="s">
        <v>0</v>
      </c>
      <c r="S52" t="str">
        <f t="shared" si="3"/>
        <v>Yes</v>
      </c>
      <c r="T52" t="s">
        <v>0</v>
      </c>
    </row>
    <row r="53" spans="1:21" x14ac:dyDescent="0.25">
      <c r="A53" t="s">
        <v>5</v>
      </c>
      <c r="B53" s="14" t="s">
        <v>90</v>
      </c>
      <c r="C53" s="14" t="s">
        <v>0</v>
      </c>
      <c r="D53" t="s">
        <v>584</v>
      </c>
      <c r="G53" t="s">
        <v>33</v>
      </c>
      <c r="I53" s="14">
        <v>1</v>
      </c>
      <c r="L53" s="14">
        <v>1</v>
      </c>
      <c r="P53" s="14">
        <v>2</v>
      </c>
      <c r="Q53" t="s">
        <v>1</v>
      </c>
      <c r="R53" t="s">
        <v>1</v>
      </c>
      <c r="S53" t="str">
        <f t="shared" si="3"/>
        <v>Yes</v>
      </c>
      <c r="T53" t="s">
        <v>1</v>
      </c>
    </row>
    <row r="54" spans="1:21" x14ac:dyDescent="0.25">
      <c r="A54" t="s">
        <v>5</v>
      </c>
      <c r="B54" s="14" t="s">
        <v>91</v>
      </c>
      <c r="C54" s="14" t="s">
        <v>0</v>
      </c>
      <c r="D54" t="s">
        <v>584</v>
      </c>
      <c r="G54" t="s">
        <v>34</v>
      </c>
      <c r="H54" s="14">
        <v>1</v>
      </c>
      <c r="K54" s="14">
        <v>1</v>
      </c>
      <c r="P54" s="14">
        <v>2</v>
      </c>
      <c r="Q54" t="s">
        <v>0</v>
      </c>
      <c r="R54" t="s">
        <v>0</v>
      </c>
      <c r="S54" t="str">
        <f t="shared" si="3"/>
        <v>Yes</v>
      </c>
      <c r="T54" t="s">
        <v>0</v>
      </c>
    </row>
    <row r="55" spans="1:21" x14ac:dyDescent="0.25">
      <c r="A55" t="s">
        <v>5</v>
      </c>
      <c r="B55" s="14" t="s">
        <v>35</v>
      </c>
      <c r="C55" s="14" t="s">
        <v>0</v>
      </c>
      <c r="D55" t="s">
        <v>584</v>
      </c>
      <c r="G55" t="s">
        <v>90</v>
      </c>
      <c r="H55" s="14">
        <v>1</v>
      </c>
      <c r="K55" s="14">
        <v>1</v>
      </c>
      <c r="P55" s="14">
        <v>2</v>
      </c>
      <c r="Q55" t="s">
        <v>0</v>
      </c>
      <c r="R55" t="s">
        <v>0</v>
      </c>
      <c r="S55" t="str">
        <f t="shared" si="3"/>
        <v>Yes</v>
      </c>
      <c r="T55" t="s">
        <v>0</v>
      </c>
    </row>
    <row r="56" spans="1:21" x14ac:dyDescent="0.25">
      <c r="A56" t="s">
        <v>5</v>
      </c>
      <c r="B56" s="14" t="s">
        <v>36</v>
      </c>
      <c r="C56" s="14" t="s">
        <v>1</v>
      </c>
      <c r="D56" t="s">
        <v>584</v>
      </c>
      <c r="G56" t="s">
        <v>91</v>
      </c>
      <c r="K56" s="14">
        <v>1</v>
      </c>
      <c r="P56" s="14">
        <v>1</v>
      </c>
      <c r="Q56" t="s">
        <v>503</v>
      </c>
      <c r="R56" t="s">
        <v>0</v>
      </c>
      <c r="S56" t="str">
        <f t="shared" si="3"/>
        <v>No mol</v>
      </c>
      <c r="T56" t="s">
        <v>0</v>
      </c>
    </row>
    <row r="57" spans="1:21" x14ac:dyDescent="0.25">
      <c r="A57" t="s">
        <v>5</v>
      </c>
      <c r="B57" s="14" t="s">
        <v>37</v>
      </c>
      <c r="C57" s="14" t="s">
        <v>503</v>
      </c>
      <c r="D57" t="s">
        <v>584</v>
      </c>
      <c r="G57" t="s">
        <v>35</v>
      </c>
      <c r="H57" s="14">
        <v>1</v>
      </c>
      <c r="K57" s="14">
        <v>1</v>
      </c>
      <c r="P57" s="14">
        <v>2</v>
      </c>
      <c r="Q57" t="s">
        <v>0</v>
      </c>
      <c r="R57" t="s">
        <v>0</v>
      </c>
      <c r="S57" t="str">
        <f t="shared" si="3"/>
        <v>Yes</v>
      </c>
      <c r="T57" t="s">
        <v>0</v>
      </c>
    </row>
    <row r="58" spans="1:21" x14ac:dyDescent="0.25">
      <c r="A58" t="s">
        <v>5</v>
      </c>
      <c r="B58" s="14" t="s">
        <v>38</v>
      </c>
      <c r="C58" s="14" t="s">
        <v>0</v>
      </c>
      <c r="D58" t="s">
        <v>584</v>
      </c>
      <c r="G58" t="s">
        <v>36</v>
      </c>
      <c r="I58" s="14">
        <v>1</v>
      </c>
      <c r="L58" s="14">
        <v>1</v>
      </c>
      <c r="P58" s="14">
        <v>2</v>
      </c>
      <c r="Q58" t="s">
        <v>1</v>
      </c>
      <c r="R58" t="s">
        <v>1</v>
      </c>
      <c r="S58" t="str">
        <f t="shared" si="3"/>
        <v>Yes</v>
      </c>
      <c r="T58" t="s">
        <v>1</v>
      </c>
    </row>
    <row r="59" spans="1:21" x14ac:dyDescent="0.25">
      <c r="A59" t="s">
        <v>5</v>
      </c>
      <c r="B59" s="14" t="s">
        <v>39</v>
      </c>
      <c r="C59" s="14" t="s">
        <v>1</v>
      </c>
      <c r="D59" t="s">
        <v>584</v>
      </c>
      <c r="G59" t="s">
        <v>37</v>
      </c>
      <c r="I59" s="14">
        <v>1</v>
      </c>
      <c r="M59" s="14">
        <v>1</v>
      </c>
      <c r="P59" s="14">
        <v>2</v>
      </c>
      <c r="Q59" t="s">
        <v>1</v>
      </c>
      <c r="R59" t="s">
        <v>503</v>
      </c>
      <c r="S59" t="s">
        <v>593</v>
      </c>
      <c r="T59" t="s">
        <v>1</v>
      </c>
      <c r="U59" t="s">
        <v>588</v>
      </c>
    </row>
    <row r="60" spans="1:21" x14ac:dyDescent="0.25">
      <c r="A60" t="s">
        <v>5</v>
      </c>
      <c r="B60" s="14" t="s">
        <v>40</v>
      </c>
      <c r="C60" s="14" t="s">
        <v>0</v>
      </c>
      <c r="D60" t="s">
        <v>584</v>
      </c>
      <c r="G60" t="s">
        <v>38</v>
      </c>
      <c r="H60" s="14">
        <v>1</v>
      </c>
      <c r="K60" s="14">
        <v>1</v>
      </c>
      <c r="P60" s="14">
        <v>2</v>
      </c>
      <c r="Q60" t="s">
        <v>0</v>
      </c>
      <c r="R60" t="s">
        <v>0</v>
      </c>
      <c r="S60" t="str">
        <f>IF(Q60=R60,"Yes",IF(Q60="NA","No mol","No"))</f>
        <v>Yes</v>
      </c>
      <c r="T60" t="s">
        <v>0</v>
      </c>
    </row>
    <row r="61" spans="1:21" x14ac:dyDescent="0.25">
      <c r="A61" t="s">
        <v>5</v>
      </c>
      <c r="B61" s="14" t="s">
        <v>92</v>
      </c>
      <c r="C61" s="14" t="s">
        <v>503</v>
      </c>
      <c r="D61" t="s">
        <v>584</v>
      </c>
      <c r="G61" t="s">
        <v>39</v>
      </c>
      <c r="I61" s="14">
        <v>1</v>
      </c>
      <c r="L61" s="14">
        <v>1</v>
      </c>
      <c r="P61" s="14">
        <v>2</v>
      </c>
      <c r="Q61" t="s">
        <v>1</v>
      </c>
      <c r="R61" t="s">
        <v>1</v>
      </c>
      <c r="S61" t="str">
        <f>IF(Q61=R61,"Yes",IF(Q61="NA","No mol","No"))</f>
        <v>Yes</v>
      </c>
      <c r="T61" t="s">
        <v>1</v>
      </c>
    </row>
    <row r="62" spans="1:21" x14ac:dyDescent="0.25">
      <c r="A62" t="s">
        <v>5</v>
      </c>
      <c r="B62" s="14" t="s">
        <v>41</v>
      </c>
      <c r="C62" s="14" t="s">
        <v>1</v>
      </c>
      <c r="D62" t="s">
        <v>584</v>
      </c>
      <c r="G62" t="s">
        <v>40</v>
      </c>
      <c r="H62" s="14">
        <v>1</v>
      </c>
      <c r="K62" s="14">
        <v>1</v>
      </c>
      <c r="P62" s="14">
        <v>2</v>
      </c>
      <c r="Q62" t="s">
        <v>0</v>
      </c>
      <c r="R62" t="s">
        <v>0</v>
      </c>
      <c r="S62" t="str">
        <f>IF(Q62=R62,"Yes",IF(Q62="NA","No mol","No"))</f>
        <v>Yes</v>
      </c>
      <c r="T62" t="s">
        <v>0</v>
      </c>
    </row>
    <row r="63" spans="1:21" x14ac:dyDescent="0.25">
      <c r="A63" t="s">
        <v>5</v>
      </c>
      <c r="B63" s="14" t="s">
        <v>42</v>
      </c>
      <c r="C63" s="14" t="s">
        <v>0</v>
      </c>
      <c r="D63" t="s">
        <v>584</v>
      </c>
      <c r="G63" t="s">
        <v>92</v>
      </c>
      <c r="M63" s="14">
        <v>1</v>
      </c>
      <c r="P63" s="14">
        <v>1</v>
      </c>
      <c r="Q63" t="s">
        <v>503</v>
      </c>
      <c r="R63" t="s">
        <v>503</v>
      </c>
      <c r="S63" t="s">
        <v>589</v>
      </c>
      <c r="T63" s="43" t="s">
        <v>1</v>
      </c>
      <c r="U63" t="s">
        <v>594</v>
      </c>
    </row>
    <row r="64" spans="1:21" x14ac:dyDescent="0.25">
      <c r="A64" t="s">
        <v>5</v>
      </c>
      <c r="B64" s="14" t="s">
        <v>43</v>
      </c>
      <c r="C64" s="14" t="s">
        <v>1</v>
      </c>
      <c r="D64" t="s">
        <v>584</v>
      </c>
      <c r="G64" t="s">
        <v>41</v>
      </c>
      <c r="I64" s="14">
        <v>1</v>
      </c>
      <c r="L64" s="14">
        <v>1</v>
      </c>
      <c r="P64" s="14">
        <v>2</v>
      </c>
      <c r="Q64" t="s">
        <v>1</v>
      </c>
      <c r="R64" t="s">
        <v>1</v>
      </c>
      <c r="S64" t="str">
        <f>IF(Q64=R64,"Yes",IF(Q64="NA","No mol","No"))</f>
        <v>Yes</v>
      </c>
      <c r="T64" t="s">
        <v>1</v>
      </c>
    </row>
    <row r="65" spans="1:21" x14ac:dyDescent="0.25">
      <c r="A65" t="s">
        <v>5</v>
      </c>
      <c r="B65" s="14" t="s">
        <v>44</v>
      </c>
      <c r="C65" s="14" t="s">
        <v>0</v>
      </c>
      <c r="D65" t="s">
        <v>584</v>
      </c>
      <c r="G65" t="s">
        <v>42</v>
      </c>
      <c r="H65" s="14">
        <v>1</v>
      </c>
      <c r="K65" s="14">
        <v>1</v>
      </c>
      <c r="P65" s="14">
        <v>2</v>
      </c>
      <c r="Q65" t="s">
        <v>0</v>
      </c>
      <c r="R65" t="s">
        <v>0</v>
      </c>
      <c r="S65" t="str">
        <f>IF(Q65=R65,"Yes",IF(Q65="NA","No mol","No"))</f>
        <v>Yes</v>
      </c>
      <c r="T65" t="s">
        <v>0</v>
      </c>
    </row>
    <row r="66" spans="1:21" x14ac:dyDescent="0.25">
      <c r="A66" t="s">
        <v>5</v>
      </c>
      <c r="B66" s="14" t="s">
        <v>581</v>
      </c>
      <c r="C66" s="14" t="s">
        <v>503</v>
      </c>
      <c r="D66" t="s">
        <v>584</v>
      </c>
      <c r="G66" t="s">
        <v>43</v>
      </c>
      <c r="I66" s="14">
        <v>1</v>
      </c>
      <c r="L66" s="14">
        <v>1</v>
      </c>
      <c r="P66" s="14">
        <v>2</v>
      </c>
      <c r="Q66" t="s">
        <v>1</v>
      </c>
      <c r="R66" t="s">
        <v>1</v>
      </c>
      <c r="S66" t="str">
        <f>IF(Q66=R66,"Yes",IF(Q66="NA","No mol","No"))</f>
        <v>Yes</v>
      </c>
      <c r="T66" t="s">
        <v>1</v>
      </c>
    </row>
    <row r="67" spans="1:21" x14ac:dyDescent="0.25">
      <c r="A67" t="s">
        <v>5</v>
      </c>
      <c r="B67" s="14" t="s">
        <v>93</v>
      </c>
      <c r="C67" s="14" t="s">
        <v>1</v>
      </c>
      <c r="D67" t="s">
        <v>584</v>
      </c>
      <c r="G67" t="s">
        <v>44</v>
      </c>
      <c r="H67" s="14">
        <v>1</v>
      </c>
      <c r="K67" s="14">
        <v>1</v>
      </c>
      <c r="P67" s="14">
        <v>2</v>
      </c>
      <c r="Q67" t="s">
        <v>0</v>
      </c>
      <c r="R67" t="s">
        <v>0</v>
      </c>
      <c r="S67" t="str">
        <f>IF(Q67=R67,"Yes",IF(Q67="NA","No mol","No"))</f>
        <v>Yes</v>
      </c>
      <c r="T67" t="s">
        <v>0</v>
      </c>
    </row>
    <row r="68" spans="1:21" x14ac:dyDescent="0.25">
      <c r="A68" t="s">
        <v>5</v>
      </c>
      <c r="B68" s="14" t="s">
        <v>133</v>
      </c>
      <c r="C68" s="14" t="s">
        <v>0</v>
      </c>
      <c r="D68" t="s">
        <v>584</v>
      </c>
      <c r="G68" t="s">
        <v>581</v>
      </c>
      <c r="M68" s="14">
        <v>1</v>
      </c>
      <c r="P68" s="14">
        <v>1</v>
      </c>
      <c r="Q68" t="s">
        <v>503</v>
      </c>
      <c r="R68" t="s">
        <v>503</v>
      </c>
      <c r="S68" t="s">
        <v>589</v>
      </c>
      <c r="T68" s="42" t="s">
        <v>1</v>
      </c>
      <c r="U68" t="s">
        <v>595</v>
      </c>
    </row>
    <row r="69" spans="1:21" x14ac:dyDescent="0.25">
      <c r="A69" t="s">
        <v>5</v>
      </c>
      <c r="B69" s="14" t="s">
        <v>45</v>
      </c>
      <c r="C69" s="14" t="s">
        <v>0</v>
      </c>
      <c r="D69" t="s">
        <v>584</v>
      </c>
      <c r="G69" t="s">
        <v>93</v>
      </c>
      <c r="L69" s="14">
        <v>1</v>
      </c>
      <c r="P69" s="14">
        <v>1</v>
      </c>
      <c r="Q69" t="s">
        <v>503</v>
      </c>
      <c r="R69" t="s">
        <v>1</v>
      </c>
      <c r="S69" t="str">
        <f>IF(Q69=R69,"Yes",IF(Q69="NA","No mol","No"))</f>
        <v>No mol</v>
      </c>
      <c r="T69" t="s">
        <v>1</v>
      </c>
    </row>
    <row r="70" spans="1:21" x14ac:dyDescent="0.25">
      <c r="A70" t="s">
        <v>5</v>
      </c>
      <c r="B70" s="14" t="s">
        <v>46</v>
      </c>
      <c r="C70" s="14" t="s">
        <v>2</v>
      </c>
      <c r="D70" t="s">
        <v>584</v>
      </c>
      <c r="G70" t="s">
        <v>133</v>
      </c>
      <c r="H70" s="14">
        <v>1</v>
      </c>
      <c r="K70" s="14">
        <v>1</v>
      </c>
      <c r="P70" s="14">
        <v>2</v>
      </c>
      <c r="Q70" t="s">
        <v>0</v>
      </c>
      <c r="R70" t="s">
        <v>0</v>
      </c>
      <c r="S70" t="str">
        <f>IF(Q70=R70,"Yes",IF(Q70="NA","No mol","No"))</f>
        <v>Yes</v>
      </c>
      <c r="T70" t="s">
        <v>0</v>
      </c>
    </row>
    <row r="71" spans="1:21" x14ac:dyDescent="0.25">
      <c r="A71" t="s">
        <v>5</v>
      </c>
      <c r="B71" s="14" t="s">
        <v>47</v>
      </c>
      <c r="C71" s="14" t="s">
        <v>0</v>
      </c>
      <c r="D71" t="s">
        <v>584</v>
      </c>
      <c r="G71" t="s">
        <v>45</v>
      </c>
      <c r="H71" s="14">
        <v>1</v>
      </c>
      <c r="K71" s="14">
        <v>1</v>
      </c>
      <c r="P71" s="14">
        <v>2</v>
      </c>
      <c r="Q71" t="s">
        <v>0</v>
      </c>
      <c r="R71" t="s">
        <v>0</v>
      </c>
      <c r="S71" t="str">
        <f>IF(Q71=R71,"Yes",IF(Q71="NA","No mol","No"))</f>
        <v>Yes</v>
      </c>
      <c r="T71" t="s">
        <v>0</v>
      </c>
    </row>
    <row r="72" spans="1:21" x14ac:dyDescent="0.25">
      <c r="A72" t="s">
        <v>5</v>
      </c>
      <c r="B72" s="14" t="s">
        <v>94</v>
      </c>
      <c r="C72" s="14" t="s">
        <v>2</v>
      </c>
      <c r="D72" t="s">
        <v>584</v>
      </c>
      <c r="G72" t="s">
        <v>46</v>
      </c>
      <c r="H72" s="14">
        <v>1</v>
      </c>
      <c r="O72" s="14">
        <v>1</v>
      </c>
      <c r="P72" s="14">
        <v>2</v>
      </c>
      <c r="Q72" t="s">
        <v>0</v>
      </c>
      <c r="R72" t="s">
        <v>591</v>
      </c>
      <c r="S72" t="s">
        <v>592</v>
      </c>
      <c r="T72" t="s">
        <v>0</v>
      </c>
    </row>
    <row r="73" spans="1:21" x14ac:dyDescent="0.25">
      <c r="A73" t="s">
        <v>5</v>
      </c>
      <c r="B73" s="14" t="s">
        <v>48</v>
      </c>
      <c r="C73" s="14" t="s">
        <v>1</v>
      </c>
      <c r="D73" t="s">
        <v>584</v>
      </c>
      <c r="G73" t="s">
        <v>47</v>
      </c>
      <c r="H73" s="14">
        <v>1</v>
      </c>
      <c r="K73" s="14">
        <v>1</v>
      </c>
      <c r="P73" s="14">
        <v>2</v>
      </c>
      <c r="Q73" t="s">
        <v>0</v>
      </c>
      <c r="R73" t="s">
        <v>0</v>
      </c>
      <c r="S73" t="str">
        <f>IF(Q73=R73,"Yes",IF(Q73="NA","No mol","No"))</f>
        <v>Yes</v>
      </c>
      <c r="T73" t="s">
        <v>0</v>
      </c>
    </row>
    <row r="74" spans="1:21" x14ac:dyDescent="0.25">
      <c r="A74" t="s">
        <v>5</v>
      </c>
      <c r="B74" s="14" t="s">
        <v>49</v>
      </c>
      <c r="C74" s="14" t="s">
        <v>1</v>
      </c>
      <c r="D74" t="s">
        <v>584</v>
      </c>
      <c r="G74" t="s">
        <v>94</v>
      </c>
      <c r="O74" s="14">
        <v>1</v>
      </c>
      <c r="P74" s="14">
        <v>1</v>
      </c>
      <c r="Q74" t="s">
        <v>503</v>
      </c>
      <c r="R74" t="s">
        <v>591</v>
      </c>
      <c r="S74" t="s">
        <v>596</v>
      </c>
      <c r="T74" t="s">
        <v>0</v>
      </c>
    </row>
    <row r="75" spans="1:21" x14ac:dyDescent="0.25">
      <c r="A75" t="s">
        <v>5</v>
      </c>
      <c r="B75" s="14" t="s">
        <v>50</v>
      </c>
      <c r="C75" s="14" t="s">
        <v>1</v>
      </c>
      <c r="D75" t="s">
        <v>584</v>
      </c>
      <c r="G75" t="s">
        <v>48</v>
      </c>
      <c r="I75" s="14">
        <v>1</v>
      </c>
      <c r="L75" s="14">
        <v>1</v>
      </c>
      <c r="P75" s="14">
        <v>2</v>
      </c>
      <c r="Q75" t="s">
        <v>1</v>
      </c>
      <c r="R75" t="s">
        <v>1</v>
      </c>
      <c r="S75" t="str">
        <f t="shared" ref="S75:S99" si="4">IF(Q75=R75,"Yes",IF(Q75="NA","No mol","No"))</f>
        <v>Yes</v>
      </c>
      <c r="T75" t="s">
        <v>1</v>
      </c>
    </row>
    <row r="76" spans="1:21" x14ac:dyDescent="0.25">
      <c r="A76" t="s">
        <v>5</v>
      </c>
      <c r="B76" s="14" t="s">
        <v>275</v>
      </c>
      <c r="C76" s="14" t="s">
        <v>0</v>
      </c>
      <c r="D76" t="s">
        <v>584</v>
      </c>
      <c r="G76" t="s">
        <v>49</v>
      </c>
      <c r="I76" s="14">
        <v>1</v>
      </c>
      <c r="L76" s="14">
        <v>1</v>
      </c>
      <c r="P76" s="14">
        <v>2</v>
      </c>
      <c r="Q76" t="s">
        <v>1</v>
      </c>
      <c r="R76" t="s">
        <v>1</v>
      </c>
      <c r="S76" t="str">
        <f t="shared" si="4"/>
        <v>Yes</v>
      </c>
      <c r="T76" t="s">
        <v>1</v>
      </c>
    </row>
    <row r="77" spans="1:21" x14ac:dyDescent="0.25">
      <c r="A77" t="s">
        <v>5</v>
      </c>
      <c r="B77" s="14" t="s">
        <v>51</v>
      </c>
      <c r="C77" s="14" t="s">
        <v>0</v>
      </c>
      <c r="D77" t="s">
        <v>584</v>
      </c>
      <c r="G77" t="s">
        <v>50</v>
      </c>
      <c r="I77" s="14">
        <v>1</v>
      </c>
      <c r="L77" s="14">
        <v>1</v>
      </c>
      <c r="P77" s="14">
        <v>2</v>
      </c>
      <c r="Q77" t="s">
        <v>1</v>
      </c>
      <c r="R77" t="s">
        <v>1</v>
      </c>
      <c r="S77" t="str">
        <f t="shared" si="4"/>
        <v>Yes</v>
      </c>
      <c r="T77" t="s">
        <v>1</v>
      </c>
    </row>
    <row r="78" spans="1:21" x14ac:dyDescent="0.25">
      <c r="A78" t="s">
        <v>5</v>
      </c>
      <c r="B78" s="14" t="s">
        <v>95</v>
      </c>
      <c r="C78" s="14" t="s">
        <v>1</v>
      </c>
      <c r="D78" t="s">
        <v>584</v>
      </c>
      <c r="G78" t="s">
        <v>275</v>
      </c>
      <c r="H78" s="14">
        <v>1</v>
      </c>
      <c r="K78" s="14">
        <v>1</v>
      </c>
      <c r="P78" s="14">
        <v>2</v>
      </c>
      <c r="Q78" t="s">
        <v>0</v>
      </c>
      <c r="R78" t="s">
        <v>0</v>
      </c>
      <c r="S78" t="str">
        <f t="shared" si="4"/>
        <v>Yes</v>
      </c>
      <c r="T78" t="s">
        <v>0</v>
      </c>
    </row>
    <row r="79" spans="1:21" x14ac:dyDescent="0.25">
      <c r="A79" t="s">
        <v>5</v>
      </c>
      <c r="B79" s="14" t="s">
        <v>96</v>
      </c>
      <c r="C79" s="14" t="s">
        <v>0</v>
      </c>
      <c r="D79" t="s">
        <v>584</v>
      </c>
      <c r="G79" t="s">
        <v>51</v>
      </c>
      <c r="H79" s="14">
        <v>1</v>
      </c>
      <c r="K79" s="14">
        <v>1</v>
      </c>
      <c r="P79" s="14">
        <v>2</v>
      </c>
      <c r="Q79" t="s">
        <v>0</v>
      </c>
      <c r="R79" t="s">
        <v>0</v>
      </c>
      <c r="S79" t="str">
        <f t="shared" si="4"/>
        <v>Yes</v>
      </c>
      <c r="T79" t="s">
        <v>0</v>
      </c>
    </row>
    <row r="80" spans="1:21" x14ac:dyDescent="0.25">
      <c r="A80" t="s">
        <v>5</v>
      </c>
      <c r="B80" s="14" t="s">
        <v>97</v>
      </c>
      <c r="C80" s="14" t="s">
        <v>0</v>
      </c>
      <c r="D80" t="s">
        <v>584</v>
      </c>
      <c r="G80" t="s">
        <v>95</v>
      </c>
      <c r="L80" s="14">
        <v>1</v>
      </c>
      <c r="P80" s="14">
        <v>1</v>
      </c>
      <c r="Q80" t="s">
        <v>503</v>
      </c>
      <c r="R80" t="s">
        <v>1</v>
      </c>
      <c r="S80" t="str">
        <f t="shared" si="4"/>
        <v>No mol</v>
      </c>
      <c r="T80" t="s">
        <v>1</v>
      </c>
    </row>
    <row r="81" spans="1:21" x14ac:dyDescent="0.25">
      <c r="A81" t="s">
        <v>52</v>
      </c>
      <c r="B81" s="14" t="s">
        <v>52</v>
      </c>
      <c r="C81" s="14" t="s">
        <v>1</v>
      </c>
      <c r="D81" t="s">
        <v>584</v>
      </c>
      <c r="G81" t="s">
        <v>96</v>
      </c>
      <c r="K81" s="14">
        <v>1</v>
      </c>
      <c r="P81" s="14">
        <v>1</v>
      </c>
      <c r="Q81" t="s">
        <v>503</v>
      </c>
      <c r="R81" t="s">
        <v>0</v>
      </c>
      <c r="S81" t="str">
        <f t="shared" si="4"/>
        <v>No mol</v>
      </c>
      <c r="T81" t="s">
        <v>0</v>
      </c>
    </row>
    <row r="82" spans="1:21" x14ac:dyDescent="0.25">
      <c r="A82" t="s">
        <v>52</v>
      </c>
      <c r="B82" s="14" t="s">
        <v>53</v>
      </c>
      <c r="C82" s="14" t="s">
        <v>1</v>
      </c>
      <c r="D82" t="s">
        <v>584</v>
      </c>
      <c r="G82" t="s">
        <v>97</v>
      </c>
      <c r="K82" s="14">
        <v>1</v>
      </c>
      <c r="P82" s="14">
        <v>1</v>
      </c>
      <c r="Q82" t="s">
        <v>503</v>
      </c>
      <c r="R82" t="s">
        <v>0</v>
      </c>
      <c r="S82" t="str">
        <f t="shared" si="4"/>
        <v>No mol</v>
      </c>
      <c r="T82" t="s">
        <v>0</v>
      </c>
    </row>
    <row r="83" spans="1:21" x14ac:dyDescent="0.25">
      <c r="A83" s="40" t="s">
        <v>54</v>
      </c>
      <c r="B83" s="14">
        <v>0</v>
      </c>
      <c r="C83" s="14" t="s">
        <v>1</v>
      </c>
      <c r="D83" t="s">
        <v>584</v>
      </c>
      <c r="F83" t="s">
        <v>52</v>
      </c>
      <c r="G83" t="s">
        <v>52</v>
      </c>
      <c r="I83" s="14">
        <v>1</v>
      </c>
      <c r="L83" s="14">
        <v>1</v>
      </c>
      <c r="P83" s="14">
        <v>2</v>
      </c>
      <c r="Q83" t="s">
        <v>1</v>
      </c>
      <c r="R83" t="s">
        <v>1</v>
      </c>
      <c r="S83" t="str">
        <f t="shared" si="4"/>
        <v>Yes</v>
      </c>
      <c r="T83" t="s">
        <v>1</v>
      </c>
    </row>
    <row r="84" spans="1:21" x14ac:dyDescent="0.25">
      <c r="A84" t="s">
        <v>55</v>
      </c>
      <c r="B84" s="14" t="s">
        <v>56</v>
      </c>
      <c r="C84" s="14" t="s">
        <v>0</v>
      </c>
      <c r="D84" t="s">
        <v>584</v>
      </c>
      <c r="G84" t="s">
        <v>53</v>
      </c>
      <c r="I84" s="14">
        <v>1</v>
      </c>
      <c r="L84" s="14">
        <v>1</v>
      </c>
      <c r="P84" s="14">
        <v>2</v>
      </c>
      <c r="Q84" t="s">
        <v>1</v>
      </c>
      <c r="R84" t="s">
        <v>1</v>
      </c>
      <c r="S84" t="str">
        <f t="shared" si="4"/>
        <v>Yes</v>
      </c>
      <c r="T84" t="s">
        <v>1</v>
      </c>
    </row>
    <row r="85" spans="1:21" x14ac:dyDescent="0.25">
      <c r="A85" t="s">
        <v>55</v>
      </c>
      <c r="B85" s="14" t="s">
        <v>55</v>
      </c>
      <c r="C85" s="14" t="s">
        <v>0</v>
      </c>
      <c r="D85" t="s">
        <v>584</v>
      </c>
      <c r="F85" t="s">
        <v>54</v>
      </c>
      <c r="G85">
        <v>0</v>
      </c>
      <c r="I85" s="14">
        <v>1</v>
      </c>
      <c r="L85" s="14">
        <v>1</v>
      </c>
      <c r="P85" s="14">
        <v>2</v>
      </c>
      <c r="Q85" t="s">
        <v>1</v>
      </c>
      <c r="R85" t="s">
        <v>1</v>
      </c>
      <c r="S85" t="str">
        <f t="shared" si="4"/>
        <v>Yes</v>
      </c>
      <c r="T85" t="s">
        <v>1</v>
      </c>
    </row>
    <row r="86" spans="1:21" x14ac:dyDescent="0.25">
      <c r="A86" t="s">
        <v>57</v>
      </c>
      <c r="B86" s="14" t="s">
        <v>57</v>
      </c>
      <c r="C86" s="14" t="s">
        <v>1</v>
      </c>
      <c r="D86" t="s">
        <v>584</v>
      </c>
      <c r="F86" t="s">
        <v>55</v>
      </c>
      <c r="G86" t="s">
        <v>56</v>
      </c>
      <c r="H86" s="14">
        <v>1</v>
      </c>
      <c r="K86" s="14">
        <v>1</v>
      </c>
      <c r="P86" s="14">
        <v>2</v>
      </c>
      <c r="Q86" t="s">
        <v>0</v>
      </c>
      <c r="R86" t="s">
        <v>0</v>
      </c>
      <c r="S86" t="str">
        <f t="shared" si="4"/>
        <v>Yes</v>
      </c>
      <c r="T86" t="s">
        <v>0</v>
      </c>
    </row>
    <row r="87" spans="1:21" x14ac:dyDescent="0.25">
      <c r="A87" t="s">
        <v>57</v>
      </c>
      <c r="B87" s="14" t="s">
        <v>58</v>
      </c>
      <c r="C87" s="14" t="s">
        <v>1</v>
      </c>
      <c r="D87" t="s">
        <v>584</v>
      </c>
      <c r="G87" t="s">
        <v>55</v>
      </c>
      <c r="H87" s="14">
        <v>1</v>
      </c>
      <c r="K87" s="14">
        <v>1</v>
      </c>
      <c r="P87" s="14">
        <v>2</v>
      </c>
      <c r="Q87" t="s">
        <v>0</v>
      </c>
      <c r="R87" t="s">
        <v>0</v>
      </c>
      <c r="S87" t="str">
        <f t="shared" si="4"/>
        <v>Yes</v>
      </c>
      <c r="T87" t="s">
        <v>0</v>
      </c>
    </row>
    <row r="88" spans="1:21" x14ac:dyDescent="0.25">
      <c r="A88" t="s">
        <v>59</v>
      </c>
      <c r="B88" s="14" t="s">
        <v>582</v>
      </c>
      <c r="C88" s="14" t="s">
        <v>0</v>
      </c>
      <c r="D88" t="s">
        <v>584</v>
      </c>
      <c r="F88" t="s">
        <v>57</v>
      </c>
      <c r="G88" t="s">
        <v>57</v>
      </c>
      <c r="I88" s="14">
        <v>1</v>
      </c>
      <c r="L88" s="14">
        <v>1</v>
      </c>
      <c r="P88" s="14">
        <v>2</v>
      </c>
      <c r="Q88" t="s">
        <v>1</v>
      </c>
      <c r="R88" t="s">
        <v>1</v>
      </c>
      <c r="S88" t="str">
        <f t="shared" si="4"/>
        <v>Yes</v>
      </c>
      <c r="T88" t="s">
        <v>1</v>
      </c>
    </row>
    <row r="89" spans="1:21" x14ac:dyDescent="0.25">
      <c r="A89" t="s">
        <v>59</v>
      </c>
      <c r="B89" s="14" t="s">
        <v>59</v>
      </c>
      <c r="C89" s="14" t="s">
        <v>0</v>
      </c>
      <c r="D89" t="s">
        <v>584</v>
      </c>
      <c r="G89" t="s">
        <v>58</v>
      </c>
      <c r="I89" s="14">
        <v>1</v>
      </c>
      <c r="L89" s="14">
        <v>1</v>
      </c>
      <c r="P89" s="14">
        <v>2</v>
      </c>
      <c r="Q89" t="s">
        <v>1</v>
      </c>
      <c r="R89" t="s">
        <v>1</v>
      </c>
      <c r="S89" t="str">
        <f t="shared" si="4"/>
        <v>Yes</v>
      </c>
      <c r="T89" t="s">
        <v>1</v>
      </c>
    </row>
    <row r="90" spans="1:21" x14ac:dyDescent="0.25">
      <c r="A90" t="s">
        <v>98</v>
      </c>
      <c r="B90" s="14" t="s">
        <v>134</v>
      </c>
      <c r="C90" s="14" t="s">
        <v>98</v>
      </c>
      <c r="D90" t="s">
        <v>584</v>
      </c>
      <c r="F90" t="s">
        <v>59</v>
      </c>
      <c r="G90" t="s">
        <v>582</v>
      </c>
      <c r="K90" s="14">
        <v>1</v>
      </c>
      <c r="P90" s="14">
        <v>1</v>
      </c>
      <c r="Q90" t="s">
        <v>503</v>
      </c>
      <c r="R90" t="s">
        <v>0</v>
      </c>
      <c r="S90" t="str">
        <f t="shared" si="4"/>
        <v>No mol</v>
      </c>
      <c r="T90" t="s">
        <v>0</v>
      </c>
      <c r="U90" t="s">
        <v>588</v>
      </c>
    </row>
    <row r="91" spans="1:21" x14ac:dyDescent="0.25">
      <c r="A91" t="s">
        <v>98</v>
      </c>
      <c r="B91" s="14" t="s">
        <v>111</v>
      </c>
      <c r="C91" s="14" t="s">
        <v>98</v>
      </c>
      <c r="D91" t="s">
        <v>584</v>
      </c>
      <c r="G91" t="s">
        <v>59</v>
      </c>
      <c r="H91" s="14">
        <v>1</v>
      </c>
      <c r="K91" s="14">
        <v>1</v>
      </c>
      <c r="P91" s="14">
        <v>2</v>
      </c>
      <c r="Q91" t="s">
        <v>0</v>
      </c>
      <c r="R91" t="s">
        <v>0</v>
      </c>
      <c r="S91" t="str">
        <f t="shared" si="4"/>
        <v>Yes</v>
      </c>
      <c r="T91" t="s">
        <v>0</v>
      </c>
    </row>
    <row r="92" spans="1:21" x14ac:dyDescent="0.25">
      <c r="A92" t="s">
        <v>98</v>
      </c>
      <c r="B92" s="14" t="s">
        <v>98</v>
      </c>
      <c r="C92" s="14" t="s">
        <v>98</v>
      </c>
      <c r="D92" t="s">
        <v>584</v>
      </c>
      <c r="F92" t="s">
        <v>98</v>
      </c>
      <c r="G92" t="s">
        <v>134</v>
      </c>
      <c r="J92" s="14">
        <v>1</v>
      </c>
      <c r="N92" s="14">
        <v>1</v>
      </c>
      <c r="P92" s="14">
        <v>2</v>
      </c>
      <c r="Q92" t="s">
        <v>98</v>
      </c>
      <c r="R92" t="s">
        <v>98</v>
      </c>
      <c r="S92" t="str">
        <f t="shared" si="4"/>
        <v>Yes</v>
      </c>
      <c r="T92" t="s">
        <v>98</v>
      </c>
    </row>
    <row r="93" spans="1:21" x14ac:dyDescent="0.25">
      <c r="A93" s="40" t="s">
        <v>60</v>
      </c>
      <c r="B93" s="14">
        <v>0</v>
      </c>
      <c r="C93" s="14" t="s">
        <v>1</v>
      </c>
      <c r="D93" t="s">
        <v>584</v>
      </c>
      <c r="G93" t="s">
        <v>111</v>
      </c>
      <c r="J93" s="14">
        <v>1</v>
      </c>
      <c r="N93" s="14">
        <v>1</v>
      </c>
      <c r="P93" s="14">
        <v>2</v>
      </c>
      <c r="Q93" t="s">
        <v>98</v>
      </c>
      <c r="R93" t="s">
        <v>98</v>
      </c>
      <c r="S93" t="str">
        <f t="shared" si="4"/>
        <v>Yes</v>
      </c>
      <c r="T93" t="s">
        <v>98</v>
      </c>
    </row>
    <row r="94" spans="1:21" x14ac:dyDescent="0.25">
      <c r="A94" t="s">
        <v>61</v>
      </c>
      <c r="B94" s="14" t="s">
        <v>62</v>
      </c>
      <c r="C94" s="14" t="s">
        <v>1</v>
      </c>
      <c r="D94" t="s">
        <v>584</v>
      </c>
      <c r="G94" t="s">
        <v>98</v>
      </c>
      <c r="J94" s="14">
        <v>1</v>
      </c>
      <c r="N94" s="14">
        <v>1</v>
      </c>
      <c r="P94" s="14">
        <v>2</v>
      </c>
      <c r="Q94" t="s">
        <v>98</v>
      </c>
      <c r="R94" t="s">
        <v>98</v>
      </c>
      <c r="S94" t="str">
        <f t="shared" si="4"/>
        <v>Yes</v>
      </c>
      <c r="T94" t="s">
        <v>98</v>
      </c>
    </row>
    <row r="95" spans="1:21" x14ac:dyDescent="0.25">
      <c r="A95" t="s">
        <v>61</v>
      </c>
      <c r="B95" s="14" t="s">
        <v>63</v>
      </c>
      <c r="C95" s="14" t="s">
        <v>1</v>
      </c>
      <c r="D95" t="s">
        <v>584</v>
      </c>
      <c r="F95" t="s">
        <v>60</v>
      </c>
      <c r="G95">
        <v>0</v>
      </c>
      <c r="I95" s="14">
        <v>1</v>
      </c>
      <c r="L95" s="14">
        <v>1</v>
      </c>
      <c r="P95" s="14">
        <v>2</v>
      </c>
      <c r="Q95" t="s">
        <v>1</v>
      </c>
      <c r="R95" t="s">
        <v>1</v>
      </c>
      <c r="S95" t="str">
        <f t="shared" si="4"/>
        <v>Yes</v>
      </c>
      <c r="T95" t="s">
        <v>1</v>
      </c>
    </row>
    <row r="96" spans="1:21" x14ac:dyDescent="0.25">
      <c r="A96" t="s">
        <v>61</v>
      </c>
      <c r="B96" s="14" t="s">
        <v>61</v>
      </c>
      <c r="C96" s="14" t="s">
        <v>1</v>
      </c>
      <c r="D96" t="s">
        <v>584</v>
      </c>
      <c r="F96" t="s">
        <v>61</v>
      </c>
      <c r="G96" t="s">
        <v>62</v>
      </c>
      <c r="I96" s="14">
        <v>1</v>
      </c>
      <c r="L96" s="14">
        <v>1</v>
      </c>
      <c r="P96" s="14">
        <v>2</v>
      </c>
      <c r="Q96" t="s">
        <v>1</v>
      </c>
      <c r="R96" t="s">
        <v>1</v>
      </c>
      <c r="S96" t="str">
        <f t="shared" si="4"/>
        <v>Yes</v>
      </c>
      <c r="T96" t="s">
        <v>1</v>
      </c>
    </row>
    <row r="97" spans="1:20" x14ac:dyDescent="0.25">
      <c r="A97" s="40" t="s">
        <v>64</v>
      </c>
      <c r="B97" s="14">
        <v>0</v>
      </c>
      <c r="C97" s="14" t="s">
        <v>1</v>
      </c>
      <c r="D97" t="s">
        <v>584</v>
      </c>
      <c r="G97" t="s">
        <v>63</v>
      </c>
      <c r="I97" s="14">
        <v>1</v>
      </c>
      <c r="L97" s="14">
        <v>1</v>
      </c>
      <c r="P97" s="14">
        <v>2</v>
      </c>
      <c r="Q97" t="s">
        <v>1</v>
      </c>
      <c r="R97" t="s">
        <v>1</v>
      </c>
      <c r="S97" t="str">
        <f t="shared" si="4"/>
        <v>Yes</v>
      </c>
      <c r="T97" t="s">
        <v>1</v>
      </c>
    </row>
    <row r="98" spans="1:20" x14ac:dyDescent="0.25">
      <c r="A98" s="14" t="s">
        <v>5</v>
      </c>
      <c r="B98" s="14" t="s">
        <v>6</v>
      </c>
      <c r="C98" s="14" t="s">
        <v>0</v>
      </c>
      <c r="D98" t="s">
        <v>585</v>
      </c>
      <c r="G98" t="s">
        <v>61</v>
      </c>
      <c r="I98" s="14">
        <v>1</v>
      </c>
      <c r="L98" s="14">
        <v>1</v>
      </c>
      <c r="P98" s="14">
        <v>2</v>
      </c>
      <c r="Q98" t="s">
        <v>1</v>
      </c>
      <c r="R98" t="s">
        <v>1</v>
      </c>
      <c r="S98" t="str">
        <f t="shared" si="4"/>
        <v>Yes</v>
      </c>
      <c r="T98" t="s">
        <v>1</v>
      </c>
    </row>
    <row r="99" spans="1:20" x14ac:dyDescent="0.25">
      <c r="A99" s="14" t="s">
        <v>5</v>
      </c>
      <c r="B99" s="14" t="s">
        <v>5</v>
      </c>
      <c r="C99" s="14" t="s">
        <v>1</v>
      </c>
      <c r="D99" t="s">
        <v>585</v>
      </c>
      <c r="F99" t="s">
        <v>64</v>
      </c>
      <c r="G99">
        <v>0</v>
      </c>
      <c r="I99" s="14">
        <v>1</v>
      </c>
      <c r="L99" s="14">
        <v>1</v>
      </c>
      <c r="P99" s="14">
        <v>2</v>
      </c>
      <c r="Q99" t="s">
        <v>1</v>
      </c>
      <c r="R99" t="s">
        <v>1</v>
      </c>
      <c r="S99" t="str">
        <f t="shared" si="4"/>
        <v>Yes</v>
      </c>
      <c r="T99" t="s">
        <v>1</v>
      </c>
    </row>
    <row r="100" spans="1:20" x14ac:dyDescent="0.25">
      <c r="A100" s="14" t="s">
        <v>5</v>
      </c>
      <c r="B100" s="14" t="s">
        <v>7</v>
      </c>
      <c r="C100" s="14" t="s">
        <v>1</v>
      </c>
      <c r="D100" t="s">
        <v>585</v>
      </c>
      <c r="F100" t="s">
        <v>4</v>
      </c>
      <c r="G100"/>
      <c r="H100" s="14">
        <v>35</v>
      </c>
      <c r="I100" s="14">
        <v>28</v>
      </c>
      <c r="J100" s="14">
        <v>3</v>
      </c>
      <c r="K100" s="14">
        <v>42</v>
      </c>
      <c r="L100" s="14">
        <v>43</v>
      </c>
      <c r="M100" s="14">
        <v>4</v>
      </c>
      <c r="N100" s="14">
        <v>3</v>
      </c>
      <c r="O100" s="14">
        <v>4</v>
      </c>
      <c r="P100" s="14">
        <v>162</v>
      </c>
    </row>
    <row r="101" spans="1:20" x14ac:dyDescent="0.25">
      <c r="A101" s="14" t="s">
        <v>5</v>
      </c>
      <c r="B101" s="14" t="s">
        <v>8</v>
      </c>
      <c r="C101" s="14" t="s">
        <v>1</v>
      </c>
      <c r="D101" t="s">
        <v>585</v>
      </c>
      <c r="H101"/>
      <c r="I101"/>
      <c r="J101"/>
      <c r="K101"/>
      <c r="L101"/>
      <c r="M101"/>
      <c r="N101"/>
      <c r="O101"/>
      <c r="P101"/>
    </row>
    <row r="102" spans="1:20" x14ac:dyDescent="0.25">
      <c r="A102" s="14" t="s">
        <v>5</v>
      </c>
      <c r="B102" s="14" t="s">
        <v>9</v>
      </c>
      <c r="C102" s="14" t="s">
        <v>1</v>
      </c>
      <c r="D102" t="s">
        <v>585</v>
      </c>
    </row>
    <row r="103" spans="1:20" x14ac:dyDescent="0.25">
      <c r="A103" s="14" t="s">
        <v>5</v>
      </c>
      <c r="B103" s="14" t="s">
        <v>10</v>
      </c>
      <c r="C103" s="14" t="s">
        <v>0</v>
      </c>
      <c r="D103" t="s">
        <v>585</v>
      </c>
    </row>
    <row r="104" spans="1:20" x14ac:dyDescent="0.25">
      <c r="A104" s="14" t="s">
        <v>5</v>
      </c>
      <c r="B104" s="14" t="s">
        <v>11</v>
      </c>
      <c r="C104" s="14" t="s">
        <v>1</v>
      </c>
      <c r="D104" t="s">
        <v>585</v>
      </c>
    </row>
    <row r="105" spans="1:20" x14ac:dyDescent="0.25">
      <c r="A105" s="14" t="s">
        <v>5</v>
      </c>
      <c r="B105" s="14" t="s">
        <v>12</v>
      </c>
      <c r="C105" s="14" t="s">
        <v>0</v>
      </c>
      <c r="D105" t="s">
        <v>585</v>
      </c>
    </row>
    <row r="106" spans="1:20" x14ac:dyDescent="0.25">
      <c r="A106" s="14" t="s">
        <v>5</v>
      </c>
      <c r="B106" s="14" t="s">
        <v>13</v>
      </c>
      <c r="C106" s="14" t="s">
        <v>1</v>
      </c>
      <c r="D106" t="s">
        <v>585</v>
      </c>
    </row>
    <row r="107" spans="1:20" x14ac:dyDescent="0.25">
      <c r="A107" s="14" t="s">
        <v>5</v>
      </c>
      <c r="B107" s="14" t="s">
        <v>14</v>
      </c>
      <c r="C107" s="14" t="s">
        <v>0</v>
      </c>
      <c r="D107" t="s">
        <v>585</v>
      </c>
    </row>
    <row r="108" spans="1:20" x14ac:dyDescent="0.25">
      <c r="A108" s="14" t="s">
        <v>5</v>
      </c>
      <c r="B108" s="14" t="s">
        <v>15</v>
      </c>
      <c r="C108" s="14" t="s">
        <v>0</v>
      </c>
      <c r="D108" t="s">
        <v>585</v>
      </c>
    </row>
    <row r="109" spans="1:20" x14ac:dyDescent="0.25">
      <c r="A109" s="14" t="s">
        <v>5</v>
      </c>
      <c r="B109" s="14" t="s">
        <v>16</v>
      </c>
      <c r="C109" s="14" t="s">
        <v>1</v>
      </c>
      <c r="D109" t="s">
        <v>585</v>
      </c>
    </row>
    <row r="110" spans="1:20" x14ac:dyDescent="0.25">
      <c r="A110" s="14" t="s">
        <v>5</v>
      </c>
      <c r="B110" s="14" t="s">
        <v>17</v>
      </c>
      <c r="C110" s="14" t="s">
        <v>0</v>
      </c>
      <c r="D110" t="s">
        <v>585</v>
      </c>
    </row>
    <row r="111" spans="1:20" x14ac:dyDescent="0.25">
      <c r="A111" s="14" t="s">
        <v>5</v>
      </c>
      <c r="B111" s="14" t="s">
        <v>18</v>
      </c>
      <c r="C111" s="14" t="s">
        <v>0</v>
      </c>
      <c r="D111" t="s">
        <v>585</v>
      </c>
    </row>
    <row r="112" spans="1:20" x14ac:dyDescent="0.25">
      <c r="A112" s="14" t="s">
        <v>5</v>
      </c>
      <c r="B112" s="14" t="s">
        <v>19</v>
      </c>
      <c r="C112" s="14" t="s">
        <v>1</v>
      </c>
      <c r="D112" t="s">
        <v>585</v>
      </c>
    </row>
    <row r="113" spans="1:4" x14ac:dyDescent="0.25">
      <c r="A113" s="14" t="s">
        <v>5</v>
      </c>
      <c r="B113" s="14" t="s">
        <v>20</v>
      </c>
      <c r="C113" s="14" t="s">
        <v>0</v>
      </c>
      <c r="D113" t="s">
        <v>585</v>
      </c>
    </row>
    <row r="114" spans="1:4" x14ac:dyDescent="0.25">
      <c r="A114" s="14" t="s">
        <v>5</v>
      </c>
      <c r="B114" s="14" t="s">
        <v>21</v>
      </c>
      <c r="C114" s="14" t="s">
        <v>1</v>
      </c>
      <c r="D114" t="s">
        <v>585</v>
      </c>
    </row>
    <row r="115" spans="1:4" x14ac:dyDescent="0.25">
      <c r="A115" s="14" t="s">
        <v>5</v>
      </c>
      <c r="B115" s="14" t="s">
        <v>22</v>
      </c>
      <c r="C115" s="14" t="s">
        <v>0</v>
      </c>
      <c r="D115" t="s">
        <v>585</v>
      </c>
    </row>
    <row r="116" spans="1:4" x14ac:dyDescent="0.25">
      <c r="A116" s="14" t="s">
        <v>5</v>
      </c>
      <c r="B116" s="14" t="s">
        <v>23</v>
      </c>
      <c r="C116" s="14" t="s">
        <v>0</v>
      </c>
      <c r="D116" t="s">
        <v>585</v>
      </c>
    </row>
    <row r="117" spans="1:4" x14ac:dyDescent="0.25">
      <c r="A117" s="14" t="s">
        <v>5</v>
      </c>
      <c r="B117" s="14" t="s">
        <v>24</v>
      </c>
      <c r="C117" s="14" t="s">
        <v>0</v>
      </c>
      <c r="D117" t="s">
        <v>585</v>
      </c>
    </row>
    <row r="118" spans="1:4" x14ac:dyDescent="0.25">
      <c r="A118" s="14" t="s">
        <v>5</v>
      </c>
      <c r="B118" s="14" t="s">
        <v>25</v>
      </c>
      <c r="C118" s="14" t="s">
        <v>0</v>
      </c>
      <c r="D118" t="s">
        <v>585</v>
      </c>
    </row>
    <row r="119" spans="1:4" x14ac:dyDescent="0.25">
      <c r="A119" s="14" t="s">
        <v>5</v>
      </c>
      <c r="B119" s="14" t="s">
        <v>26</v>
      </c>
      <c r="C119" s="14" t="s">
        <v>0</v>
      </c>
      <c r="D119" t="s">
        <v>585</v>
      </c>
    </row>
    <row r="120" spans="1:4" x14ac:dyDescent="0.25">
      <c r="A120" s="14" t="s">
        <v>5</v>
      </c>
      <c r="B120" s="14" t="s">
        <v>27</v>
      </c>
      <c r="C120" s="14" t="s">
        <v>0</v>
      </c>
      <c r="D120" t="s">
        <v>585</v>
      </c>
    </row>
    <row r="121" spans="1:4" x14ac:dyDescent="0.25">
      <c r="A121" s="14" t="s">
        <v>5</v>
      </c>
      <c r="B121" s="14" t="s">
        <v>28</v>
      </c>
      <c r="C121" s="14" t="s">
        <v>0</v>
      </c>
      <c r="D121" t="s">
        <v>585</v>
      </c>
    </row>
    <row r="122" spans="1:4" x14ac:dyDescent="0.25">
      <c r="A122" s="14" t="s">
        <v>5</v>
      </c>
      <c r="B122" s="14" t="s">
        <v>29</v>
      </c>
      <c r="C122" s="14" t="s">
        <v>0</v>
      </c>
      <c r="D122" t="s">
        <v>585</v>
      </c>
    </row>
    <row r="123" spans="1:4" x14ac:dyDescent="0.25">
      <c r="A123" s="14" t="s">
        <v>5</v>
      </c>
      <c r="B123" s="14" t="s">
        <v>30</v>
      </c>
      <c r="C123" s="14" t="s">
        <v>0</v>
      </c>
      <c r="D123" t="s">
        <v>585</v>
      </c>
    </row>
    <row r="124" spans="1:4" x14ac:dyDescent="0.25">
      <c r="A124" s="14" t="s">
        <v>5</v>
      </c>
      <c r="B124" s="14" t="s">
        <v>31</v>
      </c>
      <c r="C124" s="14" t="s">
        <v>0</v>
      </c>
      <c r="D124" t="s">
        <v>585</v>
      </c>
    </row>
    <row r="125" spans="1:4" x14ac:dyDescent="0.25">
      <c r="A125" s="14" t="s">
        <v>5</v>
      </c>
      <c r="B125" s="14" t="s">
        <v>32</v>
      </c>
      <c r="C125" s="14" t="s">
        <v>0</v>
      </c>
      <c r="D125" t="s">
        <v>585</v>
      </c>
    </row>
    <row r="126" spans="1:4" x14ac:dyDescent="0.25">
      <c r="A126" s="14" t="s">
        <v>5</v>
      </c>
      <c r="B126" s="14" t="s">
        <v>33</v>
      </c>
      <c r="C126" s="14" t="s">
        <v>1</v>
      </c>
      <c r="D126" t="s">
        <v>585</v>
      </c>
    </row>
    <row r="127" spans="1:4" x14ac:dyDescent="0.25">
      <c r="A127" s="14" t="s">
        <v>5</v>
      </c>
      <c r="B127" s="14" t="s">
        <v>34</v>
      </c>
      <c r="C127" s="14" t="s">
        <v>0</v>
      </c>
      <c r="D127" t="s">
        <v>585</v>
      </c>
    </row>
    <row r="128" spans="1:4" x14ac:dyDescent="0.25">
      <c r="A128" s="14" t="s">
        <v>5</v>
      </c>
      <c r="B128" s="14" t="s">
        <v>90</v>
      </c>
      <c r="C128" s="14" t="s">
        <v>0</v>
      </c>
      <c r="D128" t="s">
        <v>585</v>
      </c>
    </row>
    <row r="129" spans="1:4" x14ac:dyDescent="0.25">
      <c r="A129" s="14" t="s">
        <v>5</v>
      </c>
      <c r="B129" s="14" t="s">
        <v>35</v>
      </c>
      <c r="C129" s="14" t="s">
        <v>0</v>
      </c>
      <c r="D129" t="s">
        <v>585</v>
      </c>
    </row>
    <row r="130" spans="1:4" x14ac:dyDescent="0.25">
      <c r="A130" s="14" t="s">
        <v>5</v>
      </c>
      <c r="B130" s="14" t="s">
        <v>36</v>
      </c>
      <c r="C130" s="14" t="s">
        <v>1</v>
      </c>
      <c r="D130" t="s">
        <v>585</v>
      </c>
    </row>
    <row r="131" spans="1:4" x14ac:dyDescent="0.25">
      <c r="A131" s="14" t="s">
        <v>5</v>
      </c>
      <c r="B131" s="14" t="s">
        <v>37</v>
      </c>
      <c r="C131" s="14" t="s">
        <v>1</v>
      </c>
      <c r="D131" t="s">
        <v>585</v>
      </c>
    </row>
    <row r="132" spans="1:4" x14ac:dyDescent="0.25">
      <c r="A132" s="14" t="s">
        <v>5</v>
      </c>
      <c r="B132" s="14" t="s">
        <v>38</v>
      </c>
      <c r="C132" s="14" t="s">
        <v>0</v>
      </c>
      <c r="D132" t="s">
        <v>585</v>
      </c>
    </row>
    <row r="133" spans="1:4" x14ac:dyDescent="0.25">
      <c r="A133" s="14" t="s">
        <v>5</v>
      </c>
      <c r="B133" s="14" t="s">
        <v>39</v>
      </c>
      <c r="C133" s="14" t="s">
        <v>1</v>
      </c>
      <c r="D133" t="s">
        <v>585</v>
      </c>
    </row>
    <row r="134" spans="1:4" x14ac:dyDescent="0.25">
      <c r="A134" s="14" t="s">
        <v>5</v>
      </c>
      <c r="B134" s="14" t="s">
        <v>40</v>
      </c>
      <c r="C134" s="14" t="s">
        <v>0</v>
      </c>
      <c r="D134" t="s">
        <v>585</v>
      </c>
    </row>
    <row r="135" spans="1:4" x14ac:dyDescent="0.25">
      <c r="A135" s="14" t="s">
        <v>5</v>
      </c>
      <c r="B135" s="14" t="s">
        <v>41</v>
      </c>
      <c r="C135" s="14" t="s">
        <v>1</v>
      </c>
      <c r="D135" t="s">
        <v>585</v>
      </c>
    </row>
    <row r="136" spans="1:4" x14ac:dyDescent="0.25">
      <c r="A136" s="14" t="s">
        <v>5</v>
      </c>
      <c r="B136" s="14" t="s">
        <v>42</v>
      </c>
      <c r="C136" s="14" t="s">
        <v>0</v>
      </c>
      <c r="D136" t="s">
        <v>585</v>
      </c>
    </row>
    <row r="137" spans="1:4" x14ac:dyDescent="0.25">
      <c r="A137" s="14" t="s">
        <v>5</v>
      </c>
      <c r="B137" s="14" t="s">
        <v>43</v>
      </c>
      <c r="C137" s="14" t="s">
        <v>1</v>
      </c>
      <c r="D137" t="s">
        <v>585</v>
      </c>
    </row>
    <row r="138" spans="1:4" x14ac:dyDescent="0.25">
      <c r="A138" s="14" t="s">
        <v>5</v>
      </c>
      <c r="B138" s="14" t="s">
        <v>44</v>
      </c>
      <c r="C138" s="14" t="s">
        <v>0</v>
      </c>
      <c r="D138" t="s">
        <v>585</v>
      </c>
    </row>
    <row r="139" spans="1:4" x14ac:dyDescent="0.25">
      <c r="A139" s="14" t="s">
        <v>5</v>
      </c>
      <c r="B139" s="14" t="s">
        <v>133</v>
      </c>
      <c r="C139" s="14" t="s">
        <v>0</v>
      </c>
      <c r="D139" t="s">
        <v>585</v>
      </c>
    </row>
    <row r="140" spans="1:4" x14ac:dyDescent="0.25">
      <c r="A140" s="14" t="s">
        <v>5</v>
      </c>
      <c r="B140" s="14" t="s">
        <v>45</v>
      </c>
      <c r="C140" s="14" t="s">
        <v>0</v>
      </c>
      <c r="D140" t="s">
        <v>585</v>
      </c>
    </row>
    <row r="141" spans="1:4" x14ac:dyDescent="0.25">
      <c r="A141" s="14" t="s">
        <v>5</v>
      </c>
      <c r="B141" s="14" t="s">
        <v>46</v>
      </c>
      <c r="C141" s="14" t="s">
        <v>0</v>
      </c>
      <c r="D141" t="s">
        <v>585</v>
      </c>
    </row>
    <row r="142" spans="1:4" x14ac:dyDescent="0.25">
      <c r="A142" s="14" t="s">
        <v>5</v>
      </c>
      <c r="B142" s="14" t="s">
        <v>47</v>
      </c>
      <c r="C142" s="14" t="s">
        <v>0</v>
      </c>
      <c r="D142" t="s">
        <v>585</v>
      </c>
    </row>
    <row r="143" spans="1:4" x14ac:dyDescent="0.25">
      <c r="A143" s="14" t="s">
        <v>5</v>
      </c>
      <c r="B143" s="14" t="s">
        <v>48</v>
      </c>
      <c r="C143" s="14" t="s">
        <v>1</v>
      </c>
      <c r="D143" t="s">
        <v>585</v>
      </c>
    </row>
    <row r="144" spans="1:4" x14ac:dyDescent="0.25">
      <c r="A144" s="14" t="s">
        <v>5</v>
      </c>
      <c r="B144" s="14" t="s">
        <v>49</v>
      </c>
      <c r="C144" s="14" t="s">
        <v>1</v>
      </c>
      <c r="D144" t="s">
        <v>585</v>
      </c>
    </row>
    <row r="145" spans="1:4" x14ac:dyDescent="0.25">
      <c r="A145" s="14" t="s">
        <v>5</v>
      </c>
      <c r="B145" s="14" t="s">
        <v>50</v>
      </c>
      <c r="C145" s="14" t="s">
        <v>1</v>
      </c>
      <c r="D145" t="s">
        <v>585</v>
      </c>
    </row>
    <row r="146" spans="1:4" x14ac:dyDescent="0.25">
      <c r="A146" s="14" t="s">
        <v>5</v>
      </c>
      <c r="B146" s="14" t="s">
        <v>51</v>
      </c>
      <c r="C146" s="14" t="s">
        <v>0</v>
      </c>
      <c r="D146" t="s">
        <v>585</v>
      </c>
    </row>
    <row r="147" spans="1:4" x14ac:dyDescent="0.25">
      <c r="A147" s="14" t="s">
        <v>5</v>
      </c>
      <c r="B147" s="14" t="s">
        <v>275</v>
      </c>
      <c r="C147" s="14" t="s">
        <v>0</v>
      </c>
      <c r="D147" t="s">
        <v>585</v>
      </c>
    </row>
    <row r="148" spans="1:4" x14ac:dyDescent="0.25">
      <c r="A148" s="14" t="s">
        <v>52</v>
      </c>
      <c r="B148" s="14" t="s">
        <v>52</v>
      </c>
      <c r="C148" s="14" t="s">
        <v>1</v>
      </c>
      <c r="D148" t="s">
        <v>585</v>
      </c>
    </row>
    <row r="149" spans="1:4" x14ac:dyDescent="0.25">
      <c r="A149" s="14" t="s">
        <v>52</v>
      </c>
      <c r="B149" s="14" t="s">
        <v>53</v>
      </c>
      <c r="C149" s="14" t="s">
        <v>1</v>
      </c>
      <c r="D149" t="s">
        <v>585</v>
      </c>
    </row>
    <row r="150" spans="1:4" x14ac:dyDescent="0.25">
      <c r="A150" s="41" t="s">
        <v>54</v>
      </c>
      <c r="B150" s="14">
        <v>0</v>
      </c>
      <c r="C150" s="14" t="s">
        <v>1</v>
      </c>
      <c r="D150" t="s">
        <v>585</v>
      </c>
    </row>
    <row r="151" spans="1:4" x14ac:dyDescent="0.25">
      <c r="A151" s="14" t="s">
        <v>55</v>
      </c>
      <c r="B151" s="14" t="s">
        <v>56</v>
      </c>
      <c r="C151" s="14" t="s">
        <v>0</v>
      </c>
      <c r="D151" t="s">
        <v>585</v>
      </c>
    </row>
    <row r="152" spans="1:4" x14ac:dyDescent="0.25">
      <c r="A152" s="14" t="s">
        <v>55</v>
      </c>
      <c r="B152" s="14" t="s">
        <v>55</v>
      </c>
      <c r="C152" s="14" t="s">
        <v>0</v>
      </c>
      <c r="D152" t="s">
        <v>585</v>
      </c>
    </row>
    <row r="153" spans="1:4" x14ac:dyDescent="0.25">
      <c r="A153" s="14" t="s">
        <v>57</v>
      </c>
      <c r="B153" s="14" t="s">
        <v>57</v>
      </c>
      <c r="C153" s="14" t="s">
        <v>1</v>
      </c>
      <c r="D153" t="s">
        <v>585</v>
      </c>
    </row>
    <row r="154" spans="1:4" x14ac:dyDescent="0.25">
      <c r="A154" s="14" t="s">
        <v>57</v>
      </c>
      <c r="B154" s="14" t="s">
        <v>58</v>
      </c>
      <c r="C154" s="14" t="s">
        <v>1</v>
      </c>
      <c r="D154" t="s">
        <v>585</v>
      </c>
    </row>
    <row r="155" spans="1:4" x14ac:dyDescent="0.25">
      <c r="A155" s="41" t="s">
        <v>59</v>
      </c>
      <c r="B155" s="14" t="s">
        <v>59</v>
      </c>
      <c r="C155" s="14" t="s">
        <v>0</v>
      </c>
      <c r="D155" t="s">
        <v>585</v>
      </c>
    </row>
    <row r="156" spans="1:4" x14ac:dyDescent="0.25">
      <c r="A156" s="14" t="s">
        <v>98</v>
      </c>
      <c r="B156" s="14" t="s">
        <v>134</v>
      </c>
      <c r="C156" s="14" t="s">
        <v>98</v>
      </c>
      <c r="D156" t="s">
        <v>585</v>
      </c>
    </row>
    <row r="157" spans="1:4" x14ac:dyDescent="0.25">
      <c r="A157" s="14" t="s">
        <v>98</v>
      </c>
      <c r="B157" s="14" t="s">
        <v>111</v>
      </c>
      <c r="C157" s="14" t="s">
        <v>98</v>
      </c>
      <c r="D157" t="s">
        <v>585</v>
      </c>
    </row>
    <row r="158" spans="1:4" x14ac:dyDescent="0.25">
      <c r="A158" s="14" t="s">
        <v>98</v>
      </c>
      <c r="B158" s="14" t="s">
        <v>98</v>
      </c>
      <c r="C158" s="14" t="s">
        <v>98</v>
      </c>
      <c r="D158" t="s">
        <v>585</v>
      </c>
    </row>
    <row r="159" spans="1:4" x14ac:dyDescent="0.25">
      <c r="A159" s="41" t="s">
        <v>60</v>
      </c>
      <c r="B159" s="14">
        <v>0</v>
      </c>
      <c r="C159" s="14" t="s">
        <v>1</v>
      </c>
      <c r="D159" t="s">
        <v>585</v>
      </c>
    </row>
    <row r="160" spans="1:4" x14ac:dyDescent="0.25">
      <c r="A160" s="14" t="s">
        <v>61</v>
      </c>
      <c r="B160" s="14" t="s">
        <v>62</v>
      </c>
      <c r="C160" s="14" t="s">
        <v>1</v>
      </c>
      <c r="D160" t="s">
        <v>585</v>
      </c>
    </row>
    <row r="161" spans="1:4" x14ac:dyDescent="0.25">
      <c r="A161" s="14" t="s">
        <v>61</v>
      </c>
      <c r="B161" s="14" t="s">
        <v>63</v>
      </c>
      <c r="C161" s="14" t="s">
        <v>1</v>
      </c>
      <c r="D161" t="s">
        <v>585</v>
      </c>
    </row>
    <row r="162" spans="1:4" x14ac:dyDescent="0.25">
      <c r="A162" s="14" t="s">
        <v>61</v>
      </c>
      <c r="B162" s="14" t="s">
        <v>61</v>
      </c>
      <c r="C162" s="14" t="s">
        <v>1</v>
      </c>
      <c r="D162" t="s">
        <v>585</v>
      </c>
    </row>
    <row r="163" spans="1:4" x14ac:dyDescent="0.25">
      <c r="A163" s="41" t="s">
        <v>64</v>
      </c>
      <c r="B163" s="14">
        <v>0</v>
      </c>
      <c r="C163" s="14" t="s">
        <v>1</v>
      </c>
      <c r="D163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Explanation</vt:lpstr>
      <vt:lpstr>Data_v2</vt:lpstr>
      <vt:lpstr>Sources_v2</vt:lpstr>
      <vt:lpstr>number_species_v2</vt:lpstr>
      <vt:lpstr>morphoVSmol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CHAN</dc:creator>
  <cp:keywords/>
  <dc:description/>
  <cp:lastModifiedBy>John Soghigian</cp:lastModifiedBy>
  <cp:revision/>
  <dcterms:created xsi:type="dcterms:W3CDTF">2024-05-24T20:23:44Z</dcterms:created>
  <dcterms:modified xsi:type="dcterms:W3CDTF">2026-05-05T18:36:19Z</dcterms:modified>
  <cp:category/>
  <cp:contentStatus/>
</cp:coreProperties>
</file>